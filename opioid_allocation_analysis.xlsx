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inhvo/Desktop/OMIS 4000/Final Project/"/>
    </mc:Choice>
  </mc:AlternateContent>
  <xr:revisionPtr revIDLastSave="0" documentId="13_ncr:1_{2496BFE2-1707-664E-BCDE-6C9D1F142DCB}" xr6:coauthVersionLast="47" xr6:coauthVersionMax="47" xr10:uidLastSave="{00000000-0000-0000-0000-000000000000}"/>
  <bookViews>
    <workbookView xWindow="0" yWindow="500" windowWidth="35840" windowHeight="20520" activeTab="2" xr2:uid="{00000000-000D-0000-FFFF-FFFF00000000}"/>
  </bookViews>
  <sheets>
    <sheet name="Allocation Table" sheetId="1" r:id="rId1"/>
    <sheet name="Gainers &amp; Losers" sheetId="2" r:id="rId2"/>
    <sheet name="Sensitivity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2" i="3"/>
</calcChain>
</file>

<file path=xl/sharedStrings.xml><?xml version="1.0" encoding="utf-8"?>
<sst xmlns="http://schemas.openxmlformats.org/spreadsheetml/2006/main" count="447" uniqueCount="95">
  <si>
    <t>County</t>
  </si>
  <si>
    <t>GP Alloc (%)</t>
  </si>
  <si>
    <t>Formula Alloc (%)</t>
  </si>
  <si>
    <t>GP Alloc ($)</t>
  </si>
  <si>
    <t>Formula Alloc ($)</t>
  </si>
  <si>
    <t>Difference ($)</t>
  </si>
  <si>
    <t>Rural/Urban</t>
  </si>
  <si>
    <t>Income</t>
  </si>
  <si>
    <t>Health Ranking</t>
  </si>
  <si>
    <t>Philadelphia</t>
  </si>
  <si>
    <t>Urban</t>
  </si>
  <si>
    <t>Low Income</t>
  </si>
  <si>
    <t>Low Health</t>
  </si>
  <si>
    <t>Allegheny</t>
  </si>
  <si>
    <t>High Income</t>
  </si>
  <si>
    <t>High Health</t>
  </si>
  <si>
    <t>Bucks</t>
  </si>
  <si>
    <t>Montgomery</t>
  </si>
  <si>
    <t>Erie</t>
  </si>
  <si>
    <t>Delaware</t>
  </si>
  <si>
    <t>Crawford</t>
  </si>
  <si>
    <t>Rural</t>
  </si>
  <si>
    <t>Forest</t>
  </si>
  <si>
    <t>Sullivan</t>
  </si>
  <si>
    <t>Juniata</t>
  </si>
  <si>
    <t>Warren</t>
  </si>
  <si>
    <t>Potter</t>
  </si>
  <si>
    <t>Tioga</t>
  </si>
  <si>
    <t>Cameron</t>
  </si>
  <si>
    <t>Montour</t>
  </si>
  <si>
    <t>Blair</t>
  </si>
  <si>
    <t>Union</t>
  </si>
  <si>
    <t>Fulton</t>
  </si>
  <si>
    <t>Schuylkill</t>
  </si>
  <si>
    <t>Clinton</t>
  </si>
  <si>
    <t>Venango</t>
  </si>
  <si>
    <t>Snyder</t>
  </si>
  <si>
    <t>Monroe</t>
  </si>
  <si>
    <t>Adams</t>
  </si>
  <si>
    <t>Bedford</t>
  </si>
  <si>
    <t>Clarion</t>
  </si>
  <si>
    <t>Northumberland</t>
  </si>
  <si>
    <t>Columbia</t>
  </si>
  <si>
    <t>Wyoming</t>
  </si>
  <si>
    <t>Carbon</t>
  </si>
  <si>
    <t>Susquehanna</t>
  </si>
  <si>
    <t>Elk</t>
  </si>
  <si>
    <t>Greene</t>
  </si>
  <si>
    <t>Huntingdon</t>
  </si>
  <si>
    <t>Jefferson</t>
  </si>
  <si>
    <t>Mifflin</t>
  </si>
  <si>
    <t>Bradford</t>
  </si>
  <si>
    <t>Perry</t>
  </si>
  <si>
    <t>McKean</t>
  </si>
  <si>
    <t>Lebanon</t>
  </si>
  <si>
    <t>Centre</t>
  </si>
  <si>
    <t>Pike</t>
  </si>
  <si>
    <t>Dauphin</t>
  </si>
  <si>
    <t>Somerset</t>
  </si>
  <si>
    <t>Cumberland</t>
  </si>
  <si>
    <t>Clearfield</t>
  </si>
  <si>
    <t>Lycoming</t>
  </si>
  <si>
    <t>Butler</t>
  </si>
  <si>
    <t>Wayne</t>
  </si>
  <si>
    <t>Franklin</t>
  </si>
  <si>
    <t>Mercer</t>
  </si>
  <si>
    <t>Fayette</t>
  </si>
  <si>
    <t>Armstrong</t>
  </si>
  <si>
    <t>Westmoreland</t>
  </si>
  <si>
    <t>York</t>
  </si>
  <si>
    <t>Indiana</t>
  </si>
  <si>
    <t>Cambria</t>
  </si>
  <si>
    <t>Lawrence</t>
  </si>
  <si>
    <t>Washington</t>
  </si>
  <si>
    <t>Northampton</t>
  </si>
  <si>
    <t>Lancaster</t>
  </si>
  <si>
    <t>Lackawanna</t>
  </si>
  <si>
    <t>Berks</t>
  </si>
  <si>
    <t>Beaver</t>
  </si>
  <si>
    <t>Lehigh</t>
  </si>
  <si>
    <t>Chester</t>
  </si>
  <si>
    <t>Luzerne</t>
  </si>
  <si>
    <t>Formula (%)</t>
  </si>
  <si>
    <t>θ=0.30</t>
  </si>
  <si>
    <t>θ=0.35</t>
  </si>
  <si>
    <t>θ=0.40</t>
  </si>
  <si>
    <t>θ=0.45</t>
  </si>
  <si>
    <t>θ=0.50</t>
  </si>
  <si>
    <t>Formula ($)</t>
  </si>
  <si>
    <t>Min ($)</t>
  </si>
  <si>
    <t>Max ($)</t>
  </si>
  <si>
    <t>Range ($)</t>
  </si>
  <si>
    <t>TOP 10 COUNTIES — LARGEST GAIN (Goal Program vs Formula)</t>
  </si>
  <si>
    <t>TOP 10 COUNTIES — LARGEST LOSS (Goal Program vs Formula)</t>
  </si>
  <si>
    <t>Range/ θ=0.40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</si>
</sst>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\$#,##0;\(\$#,##0\);&quot;-&quot;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06400"/>
      <name val="Arial"/>
      <family val="2"/>
    </font>
    <font>
      <b/>
      <sz val="9"/>
      <color rgb="FF8B0000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1B7340"/>
      </patternFill>
    </fill>
    <fill>
      <patternFill patternType="solid">
        <fgColor rgb="FF7B241C"/>
      </patternFill>
    </fill>
    <fill>
      <patternFill patternType="solid">
        <fgColor rgb="FF1D4ED8"/>
      </patternFill>
    </fill>
    <fill>
      <patternFill patternType="solid">
        <fgColor rgb="FFF8F9F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165" fontId="2" fillId="11" borderId="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5" fillId="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4" width="16" customWidth="1"/>
    <col min="5" max="5" width="17" customWidth="1"/>
    <col min="6" max="6" width="16" customWidth="1"/>
    <col min="7" max="7" width="12" customWidth="1"/>
    <col min="8" max="8" width="13" customWidth="1"/>
    <col min="9" max="9" width="16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>
        <v>0.28988756196022358</v>
      </c>
      <c r="C2" s="3">
        <v>0.23145727815469469</v>
      </c>
      <c r="D2" s="4">
        <v>217125783.90820751</v>
      </c>
      <c r="E2" s="4">
        <v>173361501.3378664</v>
      </c>
      <c r="F2" s="5">
        <v>43764282.57034114</v>
      </c>
      <c r="G2" s="6" t="s">
        <v>10</v>
      </c>
      <c r="H2" s="6" t="s">
        <v>11</v>
      </c>
      <c r="I2" s="6" t="s">
        <v>12</v>
      </c>
    </row>
    <row r="3" spans="1:9" x14ac:dyDescent="0.2">
      <c r="A3" s="2" t="s">
        <v>13</v>
      </c>
      <c r="B3" s="3">
        <v>0.12793006973611651</v>
      </c>
      <c r="C3" s="3">
        <v>0.1152408780320243</v>
      </c>
      <c r="D3" s="4">
        <v>95819622.232351288</v>
      </c>
      <c r="E3" s="4">
        <v>86315417.64598617</v>
      </c>
      <c r="F3" s="5">
        <v>9504204.5863651186</v>
      </c>
      <c r="G3" s="6" t="s">
        <v>10</v>
      </c>
      <c r="H3" s="6" t="s">
        <v>14</v>
      </c>
      <c r="I3" s="6" t="s">
        <v>15</v>
      </c>
    </row>
    <row r="4" spans="1:9" x14ac:dyDescent="0.2">
      <c r="A4" s="2" t="s">
        <v>16</v>
      </c>
      <c r="B4" s="3">
        <v>6.3734726682769527E-2</v>
      </c>
      <c r="C4" s="3">
        <v>5.8025846369406317E-2</v>
      </c>
      <c r="D4" s="4">
        <v>47737310.285394378</v>
      </c>
      <c r="E4" s="4">
        <v>43461358.930685326</v>
      </c>
      <c r="F4" s="5">
        <v>4275951.3547090441</v>
      </c>
      <c r="G4" s="6" t="s">
        <v>10</v>
      </c>
      <c r="H4" s="6" t="s">
        <v>14</v>
      </c>
      <c r="I4" s="6" t="s">
        <v>15</v>
      </c>
    </row>
    <row r="5" spans="1:9" x14ac:dyDescent="0.2">
      <c r="A5" s="2" t="s">
        <v>17</v>
      </c>
      <c r="B5" s="3">
        <v>5.1737700339249883E-2</v>
      </c>
      <c r="C5" s="3">
        <v>5.0474316129972732E-2</v>
      </c>
      <c r="D5" s="4">
        <v>38751537.554098159</v>
      </c>
      <c r="E5" s="4">
        <v>37805262.781349577</v>
      </c>
      <c r="F5" s="5">
        <v>946274.77274858207</v>
      </c>
      <c r="G5" s="6" t="s">
        <v>10</v>
      </c>
      <c r="H5" s="6" t="s">
        <v>14</v>
      </c>
      <c r="I5" s="6" t="s">
        <v>15</v>
      </c>
    </row>
    <row r="6" spans="1:9" x14ac:dyDescent="0.2">
      <c r="A6" s="2" t="s">
        <v>18</v>
      </c>
      <c r="B6" s="3">
        <v>2.1164195220079809E-2</v>
      </c>
      <c r="C6" s="3">
        <v>2.0513945003797902E-2</v>
      </c>
      <c r="D6" s="4">
        <v>15851982.21983978</v>
      </c>
      <c r="E6" s="4">
        <v>15364944.80784463</v>
      </c>
      <c r="F6" s="5">
        <v>487037.41199514829</v>
      </c>
      <c r="G6" s="6" t="s">
        <v>10</v>
      </c>
      <c r="H6" s="6" t="s">
        <v>11</v>
      </c>
      <c r="I6" s="6" t="s">
        <v>12</v>
      </c>
    </row>
    <row r="7" spans="1:9" x14ac:dyDescent="0.2">
      <c r="A7" s="2" t="s">
        <v>19</v>
      </c>
      <c r="B7" s="3">
        <v>6.5077911002100822E-2</v>
      </c>
      <c r="C7" s="3">
        <v>6.4683372414694171E-2</v>
      </c>
      <c r="D7" s="4">
        <v>48743355.340573512</v>
      </c>
      <c r="E7" s="4">
        <v>48447845.938605927</v>
      </c>
      <c r="F7" s="5">
        <v>295509.40196757758</v>
      </c>
      <c r="G7" s="6" t="s">
        <v>10</v>
      </c>
      <c r="H7" s="6" t="s">
        <v>14</v>
      </c>
      <c r="I7" s="6" t="s">
        <v>15</v>
      </c>
    </row>
    <row r="8" spans="1:9" x14ac:dyDescent="0.2">
      <c r="A8" s="2" t="s">
        <v>20</v>
      </c>
      <c r="B8" s="3">
        <v>6.7848485378609272E-3</v>
      </c>
      <c r="C8" s="3">
        <v>6.7058660230437496E-3</v>
      </c>
      <c r="D8" s="4">
        <v>5081851.5548578342</v>
      </c>
      <c r="E8" s="4">
        <v>5022693.6512597688</v>
      </c>
      <c r="F8" s="5">
        <v>59157.903598065488</v>
      </c>
      <c r="G8" s="6" t="s">
        <v>21</v>
      </c>
      <c r="H8" s="6" t="s">
        <v>11</v>
      </c>
      <c r="I8" s="6" t="s">
        <v>12</v>
      </c>
    </row>
    <row r="9" spans="1:9" x14ac:dyDescent="0.2">
      <c r="A9" s="2" t="s">
        <v>22</v>
      </c>
      <c r="B9" s="3">
        <v>5.3754162348422106E-4</v>
      </c>
      <c r="C9" s="3">
        <v>4.9126053429557576E-4</v>
      </c>
      <c r="D9" s="4">
        <v>402618.67598968162</v>
      </c>
      <c r="E9" s="4">
        <v>367954.14018738619</v>
      </c>
      <c r="F9" s="5">
        <v>34664.535802295322</v>
      </c>
      <c r="G9" s="6" t="s">
        <v>21</v>
      </c>
      <c r="H9" s="6" t="s">
        <v>11</v>
      </c>
      <c r="I9" s="6" t="s">
        <v>12</v>
      </c>
    </row>
    <row r="10" spans="1:9" x14ac:dyDescent="0.2">
      <c r="A10" s="2" t="s">
        <v>23</v>
      </c>
      <c r="B10" s="3">
        <v>5.3754161747266208E-4</v>
      </c>
      <c r="C10" s="3">
        <v>5.0119177495837536E-4</v>
      </c>
      <c r="D10" s="4">
        <v>402618.67148702388</v>
      </c>
      <c r="E10" s="4">
        <v>375392.63944382308</v>
      </c>
      <c r="F10" s="5">
        <v>27226.032043200739</v>
      </c>
      <c r="G10" s="6" t="s">
        <v>21</v>
      </c>
      <c r="H10" s="6" t="s">
        <v>14</v>
      </c>
      <c r="I10" s="6" t="s">
        <v>12</v>
      </c>
    </row>
    <row r="11" spans="1:9" x14ac:dyDescent="0.2">
      <c r="A11" s="7" t="s">
        <v>24</v>
      </c>
      <c r="B11" s="8">
        <v>5.375416190231164E-4</v>
      </c>
      <c r="C11" s="8">
        <v>6.0570229061030823E-4</v>
      </c>
      <c r="D11" s="9">
        <v>402618.67264831421</v>
      </c>
      <c r="E11" s="9">
        <v>453671.01566712093</v>
      </c>
      <c r="F11" s="10">
        <v>-51052.343018806707</v>
      </c>
      <c r="G11" s="11" t="s">
        <v>21</v>
      </c>
      <c r="H11" s="11" t="s">
        <v>11</v>
      </c>
      <c r="I11" s="11" t="s">
        <v>12</v>
      </c>
    </row>
    <row r="12" spans="1:9" x14ac:dyDescent="0.2">
      <c r="A12" s="7" t="s">
        <v>25</v>
      </c>
      <c r="B12" s="8">
        <v>1.290099881144496E-3</v>
      </c>
      <c r="C12" s="8">
        <v>1.39216585610764E-3</v>
      </c>
      <c r="D12" s="9">
        <v>966284.81097722775</v>
      </c>
      <c r="E12" s="9">
        <v>1042732.226224622</v>
      </c>
      <c r="F12" s="10">
        <v>-76447.415247394703</v>
      </c>
      <c r="G12" s="11" t="s">
        <v>21</v>
      </c>
      <c r="H12" s="11" t="s">
        <v>11</v>
      </c>
      <c r="I12" s="11" t="s">
        <v>15</v>
      </c>
    </row>
    <row r="13" spans="1:9" x14ac:dyDescent="0.2">
      <c r="A13" s="7" t="s">
        <v>26</v>
      </c>
      <c r="B13" s="8">
        <v>5.3754161731218715E-4</v>
      </c>
      <c r="C13" s="8">
        <v>6.6937291723215828E-4</v>
      </c>
      <c r="D13" s="9">
        <v>402618.6713668282</v>
      </c>
      <c r="E13" s="9">
        <v>501360.31500688661</v>
      </c>
      <c r="F13" s="10">
        <v>-98741.643640058348</v>
      </c>
      <c r="G13" s="11" t="s">
        <v>21</v>
      </c>
      <c r="H13" s="11" t="s">
        <v>11</v>
      </c>
      <c r="I13" s="11" t="s">
        <v>12</v>
      </c>
    </row>
    <row r="14" spans="1:9" x14ac:dyDescent="0.2">
      <c r="A14" s="7" t="s">
        <v>27</v>
      </c>
      <c r="B14" s="8">
        <v>1.348344192985467E-3</v>
      </c>
      <c r="C14" s="8">
        <v>1.4892246931682239E-3</v>
      </c>
      <c r="D14" s="9">
        <v>1009909.800546115</v>
      </c>
      <c r="E14" s="9">
        <v>1115429.2951829999</v>
      </c>
      <c r="F14" s="10">
        <v>-105519.49463688501</v>
      </c>
      <c r="G14" s="11" t="s">
        <v>21</v>
      </c>
      <c r="H14" s="11" t="s">
        <v>11</v>
      </c>
      <c r="I14" s="11" t="s">
        <v>15</v>
      </c>
    </row>
    <row r="15" spans="1:9" x14ac:dyDescent="0.2">
      <c r="A15" s="7" t="s">
        <v>28</v>
      </c>
      <c r="B15" s="8">
        <v>5.5986721078234635E-4</v>
      </c>
      <c r="C15" s="8">
        <v>7.1818424461662423E-4</v>
      </c>
      <c r="D15" s="9">
        <v>419340.54087597743</v>
      </c>
      <c r="E15" s="9">
        <v>537919.99921785155</v>
      </c>
      <c r="F15" s="10">
        <v>-118579.45834187409</v>
      </c>
      <c r="G15" s="11" t="s">
        <v>21</v>
      </c>
      <c r="H15" s="11" t="s">
        <v>11</v>
      </c>
      <c r="I15" s="11" t="s">
        <v>12</v>
      </c>
    </row>
    <row r="16" spans="1:9" x14ac:dyDescent="0.2">
      <c r="A16" s="7" t="s">
        <v>29</v>
      </c>
      <c r="B16" s="8">
        <v>1.258563476257767E-3</v>
      </c>
      <c r="C16" s="8">
        <v>1.426616516915973E-3</v>
      </c>
      <c r="D16" s="9">
        <v>942664.04371706781</v>
      </c>
      <c r="E16" s="9">
        <v>1068535.7711700629</v>
      </c>
      <c r="F16" s="10">
        <v>-125871.7274529956</v>
      </c>
      <c r="G16" s="11" t="s">
        <v>21</v>
      </c>
      <c r="H16" s="11" t="s">
        <v>14</v>
      </c>
      <c r="I16" s="11" t="s">
        <v>15</v>
      </c>
    </row>
    <row r="17" spans="1:9" x14ac:dyDescent="0.2">
      <c r="A17" s="7" t="s">
        <v>30</v>
      </c>
      <c r="B17" s="8">
        <v>7.887354646037379E-3</v>
      </c>
      <c r="C17" s="8">
        <v>8.07483411581667E-3</v>
      </c>
      <c r="D17" s="9">
        <v>5907628.6298819967</v>
      </c>
      <c r="E17" s="9">
        <v>6048050.7527466854</v>
      </c>
      <c r="F17" s="10">
        <v>-140422.12286468869</v>
      </c>
      <c r="G17" s="11" t="s">
        <v>10</v>
      </c>
      <c r="H17" s="11" t="s">
        <v>11</v>
      </c>
      <c r="I17" s="11" t="s">
        <v>15</v>
      </c>
    </row>
    <row r="18" spans="1:9" x14ac:dyDescent="0.2">
      <c r="A18" s="7" t="s">
        <v>31</v>
      </c>
      <c r="B18" s="8">
        <v>6.0402309785589079E-4</v>
      </c>
      <c r="C18" s="8">
        <v>8.2386358348248312E-4</v>
      </c>
      <c r="D18" s="9">
        <v>452413.30029406218</v>
      </c>
      <c r="E18" s="9">
        <v>617073.82402837987</v>
      </c>
      <c r="F18" s="10">
        <v>-164660.52373431771</v>
      </c>
      <c r="G18" s="11" t="s">
        <v>21</v>
      </c>
      <c r="H18" s="11" t="s">
        <v>14</v>
      </c>
      <c r="I18" s="11" t="s">
        <v>15</v>
      </c>
    </row>
    <row r="19" spans="1:9" x14ac:dyDescent="0.2">
      <c r="A19" s="7" t="s">
        <v>32</v>
      </c>
      <c r="B19" s="8">
        <v>5.3754161971284495E-4</v>
      </c>
      <c r="C19" s="8">
        <v>7.7208213016699318E-4</v>
      </c>
      <c r="D19" s="9">
        <v>402618.67316492088</v>
      </c>
      <c r="E19" s="9">
        <v>578289.51549507794</v>
      </c>
      <c r="F19" s="10">
        <v>-175670.84233015709</v>
      </c>
      <c r="G19" s="11" t="s">
        <v>21</v>
      </c>
      <c r="H19" s="11" t="s">
        <v>14</v>
      </c>
      <c r="I19" s="11" t="s">
        <v>12</v>
      </c>
    </row>
    <row r="20" spans="1:9" x14ac:dyDescent="0.2">
      <c r="A20" s="7" t="s">
        <v>33</v>
      </c>
      <c r="B20" s="8">
        <v>9.6200247443260292E-3</v>
      </c>
      <c r="C20" s="8">
        <v>9.8602344872094124E-3</v>
      </c>
      <c r="D20" s="9">
        <v>7205398.5335001945</v>
      </c>
      <c r="E20" s="9">
        <v>7385315.6309198504</v>
      </c>
      <c r="F20" s="10">
        <v>-179917.09741965399</v>
      </c>
      <c r="G20" s="11" t="s">
        <v>21</v>
      </c>
      <c r="H20" s="11" t="s">
        <v>14</v>
      </c>
      <c r="I20" s="11" t="s">
        <v>12</v>
      </c>
    </row>
    <row r="21" spans="1:9" x14ac:dyDescent="0.2">
      <c r="A21" s="7" t="s">
        <v>34</v>
      </c>
      <c r="B21" s="8">
        <v>7.9614568884482661E-4</v>
      </c>
      <c r="C21" s="8">
        <v>1.0458564022610411E-3</v>
      </c>
      <c r="D21" s="9">
        <v>596313.12094477518</v>
      </c>
      <c r="E21" s="9">
        <v>783346.44529351988</v>
      </c>
      <c r="F21" s="10">
        <v>-187033.3243487447</v>
      </c>
      <c r="G21" s="11" t="s">
        <v>21</v>
      </c>
      <c r="H21" s="11" t="s">
        <v>11</v>
      </c>
      <c r="I21" s="11" t="s">
        <v>12</v>
      </c>
    </row>
    <row r="22" spans="1:9" x14ac:dyDescent="0.2">
      <c r="A22" s="7" t="s">
        <v>35</v>
      </c>
      <c r="B22" s="8">
        <v>3.0771314388378331E-3</v>
      </c>
      <c r="C22" s="8">
        <v>3.3573593052704299E-3</v>
      </c>
      <c r="D22" s="9">
        <v>2304771.447689536</v>
      </c>
      <c r="E22" s="9">
        <v>2514662.1196475518</v>
      </c>
      <c r="F22" s="10">
        <v>-209890.6719580153</v>
      </c>
      <c r="G22" s="11" t="s">
        <v>21</v>
      </c>
      <c r="H22" s="11" t="s">
        <v>11</v>
      </c>
      <c r="I22" s="11" t="s">
        <v>12</v>
      </c>
    </row>
    <row r="23" spans="1:9" x14ac:dyDescent="0.2">
      <c r="A23" s="7" t="s">
        <v>36</v>
      </c>
      <c r="B23" s="8">
        <v>7.9131210993859964E-4</v>
      </c>
      <c r="C23" s="8">
        <v>1.091082831354308E-3</v>
      </c>
      <c r="D23" s="9">
        <v>592692.77034401114</v>
      </c>
      <c r="E23" s="9">
        <v>817221.04068437661</v>
      </c>
      <c r="F23" s="10">
        <v>-224528.2703403655</v>
      </c>
      <c r="G23" s="11" t="s">
        <v>21</v>
      </c>
      <c r="H23" s="11" t="s">
        <v>14</v>
      </c>
      <c r="I23" s="11" t="s">
        <v>15</v>
      </c>
    </row>
    <row r="24" spans="1:9" x14ac:dyDescent="0.2">
      <c r="A24" s="7" t="s">
        <v>37</v>
      </c>
      <c r="B24" s="8">
        <v>7.9458321909474938E-3</v>
      </c>
      <c r="C24" s="8">
        <v>8.2698388431472758E-3</v>
      </c>
      <c r="D24" s="9">
        <v>5951428.311019673</v>
      </c>
      <c r="E24" s="9">
        <v>6194109.2935173092</v>
      </c>
      <c r="F24" s="10">
        <v>-242680.9824976362</v>
      </c>
      <c r="G24" s="11" t="s">
        <v>21</v>
      </c>
      <c r="H24" s="11" t="s">
        <v>14</v>
      </c>
      <c r="I24" s="11" t="s">
        <v>12</v>
      </c>
    </row>
    <row r="25" spans="1:9" x14ac:dyDescent="0.2">
      <c r="A25" s="7" t="s">
        <v>38</v>
      </c>
      <c r="B25" s="8">
        <v>3.0974168601337428E-3</v>
      </c>
      <c r="C25" s="8">
        <v>3.4405010208038108E-3</v>
      </c>
      <c r="D25" s="9">
        <v>2319965.2282401738</v>
      </c>
      <c r="E25" s="9">
        <v>2576935.2645820552</v>
      </c>
      <c r="F25" s="10">
        <v>-256970.03634188091</v>
      </c>
      <c r="G25" s="11" t="s">
        <v>10</v>
      </c>
      <c r="H25" s="11" t="s">
        <v>14</v>
      </c>
      <c r="I25" s="11" t="s">
        <v>15</v>
      </c>
    </row>
    <row r="26" spans="1:9" x14ac:dyDescent="0.2">
      <c r="A26" s="7" t="s">
        <v>39</v>
      </c>
      <c r="B26" s="8">
        <v>1.575641684494344E-3</v>
      </c>
      <c r="C26" s="8">
        <v>1.919662416370182E-3</v>
      </c>
      <c r="D26" s="9">
        <v>1180155.621686263</v>
      </c>
      <c r="E26" s="9">
        <v>1437827.1498612659</v>
      </c>
      <c r="F26" s="10">
        <v>-257671.5281750029</v>
      </c>
      <c r="G26" s="11" t="s">
        <v>21</v>
      </c>
      <c r="H26" s="11" t="s">
        <v>11</v>
      </c>
      <c r="I26" s="11" t="s">
        <v>12</v>
      </c>
    </row>
    <row r="27" spans="1:9" x14ac:dyDescent="0.2">
      <c r="A27" s="7" t="s">
        <v>40</v>
      </c>
      <c r="B27" s="8">
        <v>1.1127004315916191E-3</v>
      </c>
      <c r="C27" s="8">
        <v>1.4650652723699629E-3</v>
      </c>
      <c r="D27" s="9">
        <v>833412.62326212274</v>
      </c>
      <c r="E27" s="9">
        <v>1097333.889005102</v>
      </c>
      <c r="F27" s="10">
        <v>-263921.26574297971</v>
      </c>
      <c r="G27" s="11" t="s">
        <v>21</v>
      </c>
      <c r="H27" s="11" t="s">
        <v>11</v>
      </c>
      <c r="I27" s="11" t="s">
        <v>12</v>
      </c>
    </row>
    <row r="28" spans="1:9" x14ac:dyDescent="0.2">
      <c r="A28" s="7" t="s">
        <v>41</v>
      </c>
      <c r="B28" s="8">
        <v>5.3926078574281274E-3</v>
      </c>
      <c r="C28" s="8">
        <v>5.7759845026555349E-3</v>
      </c>
      <c r="D28" s="9">
        <v>4039063.285213667</v>
      </c>
      <c r="E28" s="9">
        <v>4326212.3924889956</v>
      </c>
      <c r="F28" s="10">
        <v>-287149.10727532808</v>
      </c>
      <c r="G28" s="11" t="s">
        <v>21</v>
      </c>
      <c r="H28" s="11" t="s">
        <v>11</v>
      </c>
      <c r="I28" s="11" t="s">
        <v>12</v>
      </c>
    </row>
    <row r="29" spans="1:9" x14ac:dyDescent="0.2">
      <c r="A29" s="7" t="s">
        <v>42</v>
      </c>
      <c r="B29" s="8">
        <v>2.887073988847248E-3</v>
      </c>
      <c r="C29" s="8">
        <v>3.2831352834144928E-3</v>
      </c>
      <c r="D29" s="9">
        <v>2162418.4176465878</v>
      </c>
      <c r="E29" s="9">
        <v>2459068.327277455</v>
      </c>
      <c r="F29" s="10">
        <v>-296649.90963086719</v>
      </c>
      <c r="G29" s="11" t="s">
        <v>21</v>
      </c>
      <c r="H29" s="11" t="s">
        <v>11</v>
      </c>
      <c r="I29" s="11" t="s">
        <v>15</v>
      </c>
    </row>
    <row r="30" spans="1:9" x14ac:dyDescent="0.2">
      <c r="A30" s="7" t="s">
        <v>43</v>
      </c>
      <c r="B30" s="8">
        <v>1.607677078810255E-3</v>
      </c>
      <c r="C30" s="8">
        <v>2.0435885746268802E-3</v>
      </c>
      <c r="D30" s="9">
        <v>1204150.132028881</v>
      </c>
      <c r="E30" s="9">
        <v>1530647.8423955331</v>
      </c>
      <c r="F30" s="10">
        <v>-326497.71036665211</v>
      </c>
      <c r="G30" s="11" t="s">
        <v>10</v>
      </c>
      <c r="H30" s="11" t="s">
        <v>14</v>
      </c>
      <c r="I30" s="11" t="s">
        <v>15</v>
      </c>
    </row>
    <row r="31" spans="1:9" x14ac:dyDescent="0.2">
      <c r="A31" s="7" t="s">
        <v>44</v>
      </c>
      <c r="B31" s="8">
        <v>5.9936241752432552E-3</v>
      </c>
      <c r="C31" s="8">
        <v>6.4375060141599683E-3</v>
      </c>
      <c r="D31" s="9">
        <v>4489224.507257198</v>
      </c>
      <c r="E31" s="9">
        <v>4821692.0046058167</v>
      </c>
      <c r="F31" s="10">
        <v>-332467.49734861869</v>
      </c>
      <c r="G31" s="11" t="s">
        <v>10</v>
      </c>
      <c r="H31" s="11" t="s">
        <v>14</v>
      </c>
      <c r="I31" s="11" t="s">
        <v>12</v>
      </c>
    </row>
    <row r="32" spans="1:9" x14ac:dyDescent="0.2">
      <c r="A32" s="7" t="s">
        <v>45</v>
      </c>
      <c r="B32" s="8">
        <v>1.1866495899537199E-3</v>
      </c>
      <c r="C32" s="8">
        <v>1.6552077507116731E-3</v>
      </c>
      <c r="D32" s="9">
        <v>888800.54287533602</v>
      </c>
      <c r="E32" s="9">
        <v>1239750.6052830431</v>
      </c>
      <c r="F32" s="10">
        <v>-350950.06240770692</v>
      </c>
      <c r="G32" s="11" t="s">
        <v>21</v>
      </c>
      <c r="H32" s="11" t="s">
        <v>14</v>
      </c>
      <c r="I32" s="11" t="s">
        <v>15</v>
      </c>
    </row>
    <row r="33" spans="1:9" x14ac:dyDescent="0.2">
      <c r="A33" s="7" t="s">
        <v>46</v>
      </c>
      <c r="B33" s="8">
        <v>1.1960301154891669E-3</v>
      </c>
      <c r="C33" s="8">
        <v>1.680633134159635E-3</v>
      </c>
      <c r="D33" s="9">
        <v>895826.55650138622</v>
      </c>
      <c r="E33" s="9">
        <v>1258794.2174855671</v>
      </c>
      <c r="F33" s="10">
        <v>-362967.66098418058</v>
      </c>
      <c r="G33" s="11" t="s">
        <v>21</v>
      </c>
      <c r="H33" s="11" t="s">
        <v>11</v>
      </c>
      <c r="I33" s="11" t="s">
        <v>15</v>
      </c>
    </row>
    <row r="34" spans="1:9" x14ac:dyDescent="0.2">
      <c r="A34" s="7" t="s">
        <v>47</v>
      </c>
      <c r="B34" s="8">
        <v>1.562774973825293E-3</v>
      </c>
      <c r="C34" s="8">
        <v>2.050626700879184E-3</v>
      </c>
      <c r="D34" s="9">
        <v>1170518.4553951439</v>
      </c>
      <c r="E34" s="9">
        <v>1535919.3989585091</v>
      </c>
      <c r="F34" s="10">
        <v>-365400.94356336491</v>
      </c>
      <c r="G34" s="11" t="s">
        <v>21</v>
      </c>
      <c r="H34" s="11" t="s">
        <v>14</v>
      </c>
      <c r="I34" s="11" t="s">
        <v>12</v>
      </c>
    </row>
    <row r="35" spans="1:9" x14ac:dyDescent="0.2">
      <c r="A35" s="7" t="s">
        <v>48</v>
      </c>
      <c r="B35" s="8">
        <v>1.290446875195306E-3</v>
      </c>
      <c r="C35" s="8">
        <v>1.789676178109633E-3</v>
      </c>
      <c r="D35" s="9">
        <v>966544.70952128398</v>
      </c>
      <c r="E35" s="9">
        <v>1340467.457404115</v>
      </c>
      <c r="F35" s="10">
        <v>-373922.74788283149</v>
      </c>
      <c r="G35" s="11" t="s">
        <v>21</v>
      </c>
      <c r="H35" s="11" t="s">
        <v>14</v>
      </c>
      <c r="I35" s="11" t="s">
        <v>12</v>
      </c>
    </row>
    <row r="36" spans="1:9" x14ac:dyDescent="0.2">
      <c r="A36" s="7" t="s">
        <v>49</v>
      </c>
      <c r="B36" s="8">
        <v>1.355711690589979E-3</v>
      </c>
      <c r="C36" s="8">
        <v>1.88932324962713E-3</v>
      </c>
      <c r="D36" s="9">
        <v>1015428.056251894</v>
      </c>
      <c r="E36" s="9">
        <v>1415103.11397072</v>
      </c>
      <c r="F36" s="10">
        <v>-399675.05771882611</v>
      </c>
      <c r="G36" s="11" t="s">
        <v>21</v>
      </c>
      <c r="H36" s="11" t="s">
        <v>11</v>
      </c>
      <c r="I36" s="11" t="s">
        <v>12</v>
      </c>
    </row>
    <row r="37" spans="1:9" x14ac:dyDescent="0.2">
      <c r="A37" s="7" t="s">
        <v>50</v>
      </c>
      <c r="B37" s="8">
        <v>1.190404619494655E-3</v>
      </c>
      <c r="C37" s="8">
        <v>1.7252122982962101E-3</v>
      </c>
      <c r="D37" s="9">
        <v>891613.06000149623</v>
      </c>
      <c r="E37" s="9">
        <v>1292184.0114238621</v>
      </c>
      <c r="F37" s="10">
        <v>-400570.95142236538</v>
      </c>
      <c r="G37" s="11" t="s">
        <v>21</v>
      </c>
      <c r="H37" s="11" t="s">
        <v>11</v>
      </c>
      <c r="I37" s="11" t="s">
        <v>12</v>
      </c>
    </row>
    <row r="38" spans="1:9" x14ac:dyDescent="0.2">
      <c r="A38" s="7" t="s">
        <v>51</v>
      </c>
      <c r="B38" s="8">
        <v>1.6298034290197581E-3</v>
      </c>
      <c r="C38" s="8">
        <v>2.2495068494858472E-3</v>
      </c>
      <c r="D38" s="9">
        <v>1220722.768335799</v>
      </c>
      <c r="E38" s="9">
        <v>1684880.630264899</v>
      </c>
      <c r="F38" s="10">
        <v>-464157.86192910071</v>
      </c>
      <c r="G38" s="11" t="s">
        <v>21</v>
      </c>
      <c r="H38" s="11" t="s">
        <v>11</v>
      </c>
      <c r="I38" s="11" t="s">
        <v>12</v>
      </c>
    </row>
    <row r="39" spans="1:9" x14ac:dyDescent="0.2">
      <c r="A39" s="7" t="s">
        <v>52</v>
      </c>
      <c r="B39" s="8">
        <v>1.6567211712086921E-3</v>
      </c>
      <c r="C39" s="8">
        <v>2.308427767575305E-3</v>
      </c>
      <c r="D39" s="9">
        <v>1240884.1572353111</v>
      </c>
      <c r="E39" s="9">
        <v>1729012.397913903</v>
      </c>
      <c r="F39" s="10">
        <v>-488128.24067859282</v>
      </c>
      <c r="G39" s="11" t="s">
        <v>10</v>
      </c>
      <c r="H39" s="11" t="s">
        <v>14</v>
      </c>
      <c r="I39" s="11" t="s">
        <v>15</v>
      </c>
    </row>
    <row r="40" spans="1:9" x14ac:dyDescent="0.2">
      <c r="A40" s="7" t="s">
        <v>53</v>
      </c>
      <c r="B40" s="8">
        <v>1.1154008368504109E-3</v>
      </c>
      <c r="C40" s="8">
        <v>1.802815592899752E-3</v>
      </c>
      <c r="D40" s="9">
        <v>835435.22680095804</v>
      </c>
      <c r="E40" s="9">
        <v>1350308.8790819149</v>
      </c>
      <c r="F40" s="10">
        <v>-514873.65228095662</v>
      </c>
      <c r="G40" s="11" t="s">
        <v>21</v>
      </c>
      <c r="H40" s="11" t="s">
        <v>11</v>
      </c>
      <c r="I40" s="11" t="s">
        <v>12</v>
      </c>
    </row>
    <row r="41" spans="1:9" x14ac:dyDescent="0.2">
      <c r="A41" s="7" t="s">
        <v>54</v>
      </c>
      <c r="B41" s="8">
        <v>5.3040491146907577E-3</v>
      </c>
      <c r="C41" s="8">
        <v>6.03441258668172E-3</v>
      </c>
      <c r="D41" s="9">
        <v>3972732.7869033781</v>
      </c>
      <c r="E41" s="9">
        <v>4519775.0274246084</v>
      </c>
      <c r="F41" s="10">
        <v>-547042.24052123073</v>
      </c>
      <c r="G41" s="11" t="s">
        <v>10</v>
      </c>
      <c r="H41" s="11" t="s">
        <v>14</v>
      </c>
      <c r="I41" s="11" t="s">
        <v>15</v>
      </c>
    </row>
    <row r="42" spans="1:9" x14ac:dyDescent="0.2">
      <c r="A42" s="7" t="s">
        <v>55</v>
      </c>
      <c r="B42" s="8">
        <v>1.686824800001993E-3</v>
      </c>
      <c r="C42" s="8">
        <v>2.4996169103850201E-3</v>
      </c>
      <c r="D42" s="9">
        <v>1263431.775201492</v>
      </c>
      <c r="E42" s="9">
        <v>1872213.0658783801</v>
      </c>
      <c r="F42" s="10">
        <v>-608781.29067688785</v>
      </c>
      <c r="G42" s="11" t="s">
        <v>10</v>
      </c>
      <c r="H42" s="11" t="s">
        <v>14</v>
      </c>
      <c r="I42" s="11" t="s">
        <v>15</v>
      </c>
    </row>
    <row r="43" spans="1:9" x14ac:dyDescent="0.2">
      <c r="A43" s="7" t="s">
        <v>56</v>
      </c>
      <c r="B43" s="8">
        <v>1.8078206248461741E-3</v>
      </c>
      <c r="C43" s="8">
        <v>2.8251720066345639E-3</v>
      </c>
      <c r="D43" s="9">
        <v>1354057.648009785</v>
      </c>
      <c r="E43" s="9">
        <v>2116053.8329692888</v>
      </c>
      <c r="F43" s="10">
        <v>-761996.18495950429</v>
      </c>
      <c r="G43" s="11" t="s">
        <v>21</v>
      </c>
      <c r="H43" s="11" t="s">
        <v>14</v>
      </c>
      <c r="I43" s="11" t="s">
        <v>15</v>
      </c>
    </row>
    <row r="44" spans="1:9" x14ac:dyDescent="0.2">
      <c r="A44" s="7" t="s">
        <v>57</v>
      </c>
      <c r="B44" s="8">
        <v>1.50747888486935E-2</v>
      </c>
      <c r="C44" s="8">
        <v>1.6106481773996151E-2</v>
      </c>
      <c r="D44" s="9">
        <v>11291016.847671431</v>
      </c>
      <c r="E44" s="9">
        <v>12063754.848723119</v>
      </c>
      <c r="F44" s="10">
        <v>-772738.0010516867</v>
      </c>
      <c r="G44" s="11" t="s">
        <v>10</v>
      </c>
      <c r="H44" s="11" t="s">
        <v>14</v>
      </c>
      <c r="I44" s="11" t="s">
        <v>15</v>
      </c>
    </row>
    <row r="45" spans="1:9" x14ac:dyDescent="0.2">
      <c r="A45" s="7" t="s">
        <v>58</v>
      </c>
      <c r="B45" s="8">
        <v>3.1794249345852899E-3</v>
      </c>
      <c r="C45" s="8">
        <v>4.2525154814855174E-3</v>
      </c>
      <c r="D45" s="9">
        <v>2381389.2760043819</v>
      </c>
      <c r="E45" s="9">
        <v>3185134.0956326518</v>
      </c>
      <c r="F45" s="10">
        <v>-803744.81962826988</v>
      </c>
      <c r="G45" s="11" t="s">
        <v>21</v>
      </c>
      <c r="H45" s="11" t="s">
        <v>11</v>
      </c>
      <c r="I45" s="11" t="s">
        <v>12</v>
      </c>
    </row>
    <row r="46" spans="1:9" x14ac:dyDescent="0.2">
      <c r="A46" s="7" t="s">
        <v>59</v>
      </c>
      <c r="B46" s="8">
        <v>9.3524522431875871E-3</v>
      </c>
      <c r="C46" s="8">
        <v>1.047636284460262E-2</v>
      </c>
      <c r="D46" s="9">
        <v>7004986.7301475024</v>
      </c>
      <c r="E46" s="9">
        <v>7846795.7706073606</v>
      </c>
      <c r="F46" s="10">
        <v>-841809.04045985825</v>
      </c>
      <c r="G46" s="11" t="s">
        <v>10</v>
      </c>
      <c r="H46" s="11" t="s">
        <v>14</v>
      </c>
      <c r="I46" s="11" t="s">
        <v>15</v>
      </c>
    </row>
    <row r="47" spans="1:9" x14ac:dyDescent="0.2">
      <c r="A47" s="7" t="s">
        <v>60</v>
      </c>
      <c r="B47" s="8">
        <v>1.827641520621379E-3</v>
      </c>
      <c r="C47" s="8">
        <v>2.9881480462176382E-3</v>
      </c>
      <c r="D47" s="9">
        <v>1368903.4989454129</v>
      </c>
      <c r="E47" s="9">
        <v>2238122.88661701</v>
      </c>
      <c r="F47" s="10">
        <v>-869219.38767159753</v>
      </c>
      <c r="G47" s="11" t="s">
        <v>21</v>
      </c>
      <c r="H47" s="11" t="s">
        <v>11</v>
      </c>
      <c r="I47" s="11" t="s">
        <v>12</v>
      </c>
    </row>
    <row r="48" spans="1:9" x14ac:dyDescent="0.2">
      <c r="A48" s="7" t="s">
        <v>61</v>
      </c>
      <c r="B48" s="8">
        <v>5.1501331012460934E-3</v>
      </c>
      <c r="C48" s="8">
        <v>6.4217061735663324E-3</v>
      </c>
      <c r="D48" s="9">
        <v>3857449.692833323</v>
      </c>
      <c r="E48" s="9">
        <v>4809857.9240011834</v>
      </c>
      <c r="F48" s="10">
        <v>-952408.23116785986</v>
      </c>
      <c r="G48" s="11" t="s">
        <v>10</v>
      </c>
      <c r="H48" s="11" t="s">
        <v>11</v>
      </c>
      <c r="I48" s="11" t="s">
        <v>15</v>
      </c>
    </row>
    <row r="49" spans="1:9" x14ac:dyDescent="0.2">
      <c r="A49" s="7" t="s">
        <v>62</v>
      </c>
      <c r="B49" s="8">
        <v>1.237804175487443E-2</v>
      </c>
      <c r="C49" s="8">
        <v>1.3693720744591799E-2</v>
      </c>
      <c r="D49" s="9">
        <v>9271153.2744009495</v>
      </c>
      <c r="E49" s="9">
        <v>10256596.837699261</v>
      </c>
      <c r="F49" s="10">
        <v>-985443.56329831108</v>
      </c>
      <c r="G49" s="11" t="s">
        <v>10</v>
      </c>
      <c r="H49" s="11" t="s">
        <v>14</v>
      </c>
      <c r="I49" s="11" t="s">
        <v>15</v>
      </c>
    </row>
    <row r="50" spans="1:9" x14ac:dyDescent="0.2">
      <c r="A50" s="7" t="s">
        <v>63</v>
      </c>
      <c r="B50" s="8">
        <v>1.8233571316174999E-3</v>
      </c>
      <c r="C50" s="8">
        <v>3.148240089089053E-3</v>
      </c>
      <c r="D50" s="9">
        <v>1365694.491581508</v>
      </c>
      <c r="E50" s="9">
        <v>2358031.8267277009</v>
      </c>
      <c r="F50" s="10">
        <v>-992337.33514619316</v>
      </c>
      <c r="G50" s="11" t="s">
        <v>21</v>
      </c>
      <c r="H50" s="11" t="s">
        <v>11</v>
      </c>
      <c r="I50" s="11" t="s">
        <v>12</v>
      </c>
    </row>
    <row r="51" spans="1:9" x14ac:dyDescent="0.2">
      <c r="A51" s="7" t="s">
        <v>64</v>
      </c>
      <c r="B51" s="8">
        <v>3.515934368232975E-3</v>
      </c>
      <c r="C51" s="8">
        <v>5.1438222168600882E-3</v>
      </c>
      <c r="D51" s="9">
        <v>2633434.8418064988</v>
      </c>
      <c r="E51" s="9">
        <v>3852722.8404282061</v>
      </c>
      <c r="F51" s="10">
        <v>-1219287.9986217071</v>
      </c>
      <c r="G51" s="11" t="s">
        <v>10</v>
      </c>
      <c r="H51" s="11" t="s">
        <v>14</v>
      </c>
      <c r="I51" s="11" t="s">
        <v>15</v>
      </c>
    </row>
    <row r="52" spans="1:9" x14ac:dyDescent="0.2">
      <c r="A52" s="7" t="s">
        <v>65</v>
      </c>
      <c r="B52" s="8">
        <v>7.6418900015620484E-3</v>
      </c>
      <c r="C52" s="8">
        <v>9.3134347668757441E-3</v>
      </c>
      <c r="D52" s="9">
        <v>5723775.6111699734</v>
      </c>
      <c r="E52" s="9">
        <v>6975762.6403899323</v>
      </c>
      <c r="F52" s="10">
        <v>-1251987.0292199589</v>
      </c>
      <c r="G52" s="11" t="s">
        <v>21</v>
      </c>
      <c r="H52" s="11" t="s">
        <v>11</v>
      </c>
      <c r="I52" s="11" t="s">
        <v>12</v>
      </c>
    </row>
    <row r="53" spans="1:9" x14ac:dyDescent="0.2">
      <c r="A53" s="7" t="s">
        <v>66</v>
      </c>
      <c r="B53" s="8">
        <v>1.166152577406343E-2</v>
      </c>
      <c r="C53" s="8">
        <v>1.3482572149253641E-2</v>
      </c>
      <c r="D53" s="9">
        <v>8734482.8047735076</v>
      </c>
      <c r="E53" s="9">
        <v>10098446.539790969</v>
      </c>
      <c r="F53" s="10">
        <v>-1363963.7350174671</v>
      </c>
      <c r="G53" s="11" t="s">
        <v>10</v>
      </c>
      <c r="H53" s="11" t="s">
        <v>11</v>
      </c>
      <c r="I53" s="11" t="s">
        <v>12</v>
      </c>
    </row>
    <row r="54" spans="1:9" x14ac:dyDescent="0.2">
      <c r="A54" s="7" t="s">
        <v>67</v>
      </c>
      <c r="B54" s="8">
        <v>4.0401965183116907E-3</v>
      </c>
      <c r="C54" s="8">
        <v>6.06296926900988E-3</v>
      </c>
      <c r="D54" s="9">
        <v>3026107.1922154562</v>
      </c>
      <c r="E54" s="9">
        <v>4541163.9824884003</v>
      </c>
      <c r="F54" s="10">
        <v>-1515056.7902729439</v>
      </c>
      <c r="G54" s="11" t="s">
        <v>10</v>
      </c>
      <c r="H54" s="11" t="s">
        <v>11</v>
      </c>
      <c r="I54" s="11" t="s">
        <v>12</v>
      </c>
    </row>
    <row r="55" spans="1:9" x14ac:dyDescent="0.2">
      <c r="A55" s="7" t="s">
        <v>68</v>
      </c>
      <c r="B55" s="8">
        <v>3.023391371753564E-2</v>
      </c>
      <c r="C55" s="8">
        <v>3.2273212038179802E-2</v>
      </c>
      <c r="D55" s="9">
        <v>22645201.374434192</v>
      </c>
      <c r="E55" s="9">
        <v>24172635.816596668</v>
      </c>
      <c r="F55" s="10">
        <v>-1527434.442162476</v>
      </c>
      <c r="G55" s="11" t="s">
        <v>10</v>
      </c>
      <c r="H55" s="11" t="s">
        <v>14</v>
      </c>
      <c r="I55" s="11" t="s">
        <v>15</v>
      </c>
    </row>
    <row r="56" spans="1:9" x14ac:dyDescent="0.2">
      <c r="A56" s="7" t="s">
        <v>69</v>
      </c>
      <c r="B56" s="8">
        <v>2.3528473596594209E-2</v>
      </c>
      <c r="C56" s="8">
        <v>2.5713903013625371E-2</v>
      </c>
      <c r="D56" s="9">
        <v>17622826.723849058</v>
      </c>
      <c r="E56" s="9">
        <v>19259713.35720541</v>
      </c>
      <c r="F56" s="10">
        <v>-1636886.633356344</v>
      </c>
      <c r="G56" s="11" t="s">
        <v>10</v>
      </c>
      <c r="H56" s="11" t="s">
        <v>14</v>
      </c>
      <c r="I56" s="11" t="s">
        <v>15</v>
      </c>
    </row>
    <row r="57" spans="1:9" x14ac:dyDescent="0.2">
      <c r="A57" s="7" t="s">
        <v>70</v>
      </c>
      <c r="B57" s="8">
        <v>4.5622272961459379E-3</v>
      </c>
      <c r="C57" s="8">
        <v>6.8281270892248244E-3</v>
      </c>
      <c r="D57" s="9">
        <v>3417108.2448133081</v>
      </c>
      <c r="E57" s="9">
        <v>5114267.1898293924</v>
      </c>
      <c r="F57" s="10">
        <v>-1697158.9450160849</v>
      </c>
      <c r="G57" s="11" t="s">
        <v>21</v>
      </c>
      <c r="H57" s="11" t="s">
        <v>11</v>
      </c>
      <c r="I57" s="11" t="s">
        <v>12</v>
      </c>
    </row>
    <row r="58" spans="1:9" x14ac:dyDescent="0.2">
      <c r="A58" s="7" t="s">
        <v>71</v>
      </c>
      <c r="B58" s="8">
        <v>1.3378803631907479E-2</v>
      </c>
      <c r="C58" s="8">
        <v>1.587096217971995E-2</v>
      </c>
      <c r="D58" s="9">
        <v>10020723.920298699</v>
      </c>
      <c r="E58" s="9">
        <v>11887350.672610249</v>
      </c>
      <c r="F58" s="10">
        <v>-1866626.7523115431</v>
      </c>
      <c r="G58" s="11" t="s">
        <v>10</v>
      </c>
      <c r="H58" s="11" t="s">
        <v>11</v>
      </c>
      <c r="I58" s="11" t="s">
        <v>12</v>
      </c>
    </row>
    <row r="59" spans="1:9" x14ac:dyDescent="0.2">
      <c r="A59" s="7" t="s">
        <v>72</v>
      </c>
      <c r="B59" s="8">
        <v>7.3937131749913206E-3</v>
      </c>
      <c r="C59" s="8">
        <v>9.8903099493522443E-3</v>
      </c>
      <c r="D59" s="9">
        <v>5537891.1680684993</v>
      </c>
      <c r="E59" s="9">
        <v>7407842.152064831</v>
      </c>
      <c r="F59" s="10">
        <v>-1869950.9839963319</v>
      </c>
      <c r="G59" s="11" t="s">
        <v>10</v>
      </c>
      <c r="H59" s="11" t="s">
        <v>11</v>
      </c>
      <c r="I59" s="11" t="s">
        <v>12</v>
      </c>
    </row>
    <row r="60" spans="1:9" x14ac:dyDescent="0.2">
      <c r="A60" s="7" t="s">
        <v>73</v>
      </c>
      <c r="B60" s="8">
        <v>1.391478236189817E-2</v>
      </c>
      <c r="C60" s="8">
        <v>1.6471120561168381E-2</v>
      </c>
      <c r="D60" s="9">
        <v>10422171.98906173</v>
      </c>
      <c r="E60" s="9">
        <v>12336869.300315119</v>
      </c>
      <c r="F60" s="10">
        <v>-1914697.311253384</v>
      </c>
      <c r="G60" s="11" t="s">
        <v>10</v>
      </c>
      <c r="H60" s="11" t="s">
        <v>14</v>
      </c>
      <c r="I60" s="11" t="s">
        <v>15</v>
      </c>
    </row>
    <row r="61" spans="1:9" x14ac:dyDescent="0.2">
      <c r="A61" s="7" t="s">
        <v>74</v>
      </c>
      <c r="B61" s="8">
        <v>1.409784828651141E-2</v>
      </c>
      <c r="C61" s="8">
        <v>1.686235314995034E-2</v>
      </c>
      <c r="D61" s="9">
        <v>10559288.366597051</v>
      </c>
      <c r="E61" s="9">
        <v>12629902.509312799</v>
      </c>
      <c r="F61" s="10">
        <v>-2070614.1427157579</v>
      </c>
      <c r="G61" s="11" t="s">
        <v>10</v>
      </c>
      <c r="H61" s="11" t="s">
        <v>14</v>
      </c>
      <c r="I61" s="11" t="s">
        <v>15</v>
      </c>
    </row>
    <row r="62" spans="1:9" x14ac:dyDescent="0.2">
      <c r="A62" s="7" t="s">
        <v>75</v>
      </c>
      <c r="B62" s="8">
        <v>1.9590938378090131E-2</v>
      </c>
      <c r="C62" s="8">
        <v>2.2664663237112231E-2</v>
      </c>
      <c r="D62" s="9">
        <v>14673612.84518951</v>
      </c>
      <c r="E62" s="9">
        <v>16975832.764597058</v>
      </c>
      <c r="F62" s="10">
        <v>-2302219.9194075498</v>
      </c>
      <c r="G62" s="11" t="s">
        <v>10</v>
      </c>
      <c r="H62" s="11" t="s">
        <v>14</v>
      </c>
      <c r="I62" s="11" t="s">
        <v>15</v>
      </c>
    </row>
    <row r="63" spans="1:9" x14ac:dyDescent="0.2">
      <c r="A63" s="7" t="s">
        <v>76</v>
      </c>
      <c r="B63" s="8">
        <v>1.064859657087011E-2</v>
      </c>
      <c r="C63" s="8">
        <v>1.3927984120728289E-2</v>
      </c>
      <c r="D63" s="9">
        <v>7975798.8315817099</v>
      </c>
      <c r="E63" s="9">
        <v>10432060.10642549</v>
      </c>
      <c r="F63" s="10">
        <v>-2456261.2748437822</v>
      </c>
      <c r="G63" s="11" t="s">
        <v>10</v>
      </c>
      <c r="H63" s="11" t="s">
        <v>11</v>
      </c>
      <c r="I63" s="11" t="s">
        <v>15</v>
      </c>
    </row>
    <row r="64" spans="1:9" x14ac:dyDescent="0.2">
      <c r="A64" s="7" t="s">
        <v>77</v>
      </c>
      <c r="B64" s="8">
        <v>1.501087396579401E-2</v>
      </c>
      <c r="C64" s="8">
        <v>1.8908734216855329E-2</v>
      </c>
      <c r="D64" s="9">
        <v>11243144.600379709</v>
      </c>
      <c r="E64" s="9">
        <v>14162641.92842464</v>
      </c>
      <c r="F64" s="10">
        <v>-2919497.3280449249</v>
      </c>
      <c r="G64" s="11" t="s">
        <v>10</v>
      </c>
      <c r="H64" s="11" t="s">
        <v>14</v>
      </c>
      <c r="I64" s="11" t="s">
        <v>12</v>
      </c>
    </row>
    <row r="65" spans="1:9" x14ac:dyDescent="0.2">
      <c r="A65" s="7" t="s">
        <v>78</v>
      </c>
      <c r="B65" s="8">
        <v>8.8366485656635897E-3</v>
      </c>
      <c r="C65" s="8">
        <v>1.274164500330026E-2</v>
      </c>
      <c r="D65" s="9">
        <v>6618649.7756820284</v>
      </c>
      <c r="E65" s="9">
        <v>9543492.1074718982</v>
      </c>
      <c r="F65" s="10">
        <v>-2924842.3317898698</v>
      </c>
      <c r="G65" s="11" t="s">
        <v>10</v>
      </c>
      <c r="H65" s="11" t="s">
        <v>14</v>
      </c>
      <c r="I65" s="11" t="s">
        <v>15</v>
      </c>
    </row>
    <row r="66" spans="1:9" x14ac:dyDescent="0.2">
      <c r="A66" s="7" t="s">
        <v>79</v>
      </c>
      <c r="B66" s="8">
        <v>1.6763582158445339E-2</v>
      </c>
      <c r="C66" s="8">
        <v>2.1073138592099999E-2</v>
      </c>
      <c r="D66" s="9">
        <v>12555923.036675559</v>
      </c>
      <c r="E66" s="9">
        <v>15783780.8054829</v>
      </c>
      <c r="F66" s="10">
        <v>-3227857.7688073399</v>
      </c>
      <c r="G66" s="11" t="s">
        <v>10</v>
      </c>
      <c r="H66" s="11" t="s">
        <v>14</v>
      </c>
      <c r="I66" s="11" t="s">
        <v>15</v>
      </c>
    </row>
    <row r="67" spans="1:9" x14ac:dyDescent="0.2">
      <c r="A67" s="7" t="s">
        <v>80</v>
      </c>
      <c r="B67" s="8">
        <v>1.6039379966607689E-2</v>
      </c>
      <c r="C67" s="8">
        <v>2.229511603085161E-2</v>
      </c>
      <c r="D67" s="9">
        <v>12013495.59498916</v>
      </c>
      <c r="E67" s="9">
        <v>16699041.90710786</v>
      </c>
      <c r="F67" s="10">
        <v>-4685546.3121186998</v>
      </c>
      <c r="G67" s="11" t="s">
        <v>10</v>
      </c>
      <c r="H67" s="11" t="s">
        <v>14</v>
      </c>
      <c r="I67" s="11" t="s">
        <v>15</v>
      </c>
    </row>
    <row r="68" spans="1:9" x14ac:dyDescent="0.2">
      <c r="A68" s="7" t="s">
        <v>81</v>
      </c>
      <c r="B68" s="8">
        <v>2.3522031960870469E-2</v>
      </c>
      <c r="C68" s="8">
        <v>3.2822310498189032E-2</v>
      </c>
      <c r="D68" s="9">
        <v>17618001.938691981</v>
      </c>
      <c r="E68" s="9">
        <v>24583910.563143581</v>
      </c>
      <c r="F68" s="10">
        <v>-6965908.6244516037</v>
      </c>
      <c r="G68" s="11" t="s">
        <v>10</v>
      </c>
      <c r="H68" s="11" t="s">
        <v>11</v>
      </c>
      <c r="I68" s="1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A30" sqref="A30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12" customWidth="1"/>
    <col min="4" max="4" width="16" customWidth="1"/>
    <col min="5" max="6" width="13" customWidth="1"/>
    <col min="7" max="7" width="16" customWidth="1"/>
  </cols>
  <sheetData>
    <row r="1" spans="1:7" x14ac:dyDescent="0.2">
      <c r="A1" s="21" t="s">
        <v>92</v>
      </c>
      <c r="B1" s="20"/>
      <c r="C1" s="20"/>
      <c r="D1" s="20"/>
      <c r="E1" s="20"/>
      <c r="F1" s="20"/>
      <c r="G1" s="20"/>
    </row>
    <row r="2" spans="1:7" x14ac:dyDescent="0.2">
      <c r="A2" s="1" t="s">
        <v>0</v>
      </c>
      <c r="B2" s="1" t="s">
        <v>1</v>
      </c>
      <c r="C2" s="1" t="s">
        <v>82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">
      <c r="A3" s="2" t="s">
        <v>9</v>
      </c>
      <c r="B3" s="3">
        <v>0.28988756196022358</v>
      </c>
      <c r="C3" s="3">
        <v>0.23145727815469469</v>
      </c>
      <c r="D3" s="5">
        <v>43764282.57034114</v>
      </c>
      <c r="E3" s="6" t="s">
        <v>10</v>
      </c>
      <c r="F3" s="6" t="s">
        <v>11</v>
      </c>
      <c r="G3" s="6" t="s">
        <v>12</v>
      </c>
    </row>
    <row r="4" spans="1:7" x14ac:dyDescent="0.2">
      <c r="A4" s="2" t="s">
        <v>13</v>
      </c>
      <c r="B4" s="3">
        <v>0.12793006973611651</v>
      </c>
      <c r="C4" s="3">
        <v>0.1152408780320243</v>
      </c>
      <c r="D4" s="5">
        <v>9504204.5863651186</v>
      </c>
      <c r="E4" s="6" t="s">
        <v>10</v>
      </c>
      <c r="F4" s="6" t="s">
        <v>14</v>
      </c>
      <c r="G4" s="6" t="s">
        <v>15</v>
      </c>
    </row>
    <row r="5" spans="1:7" x14ac:dyDescent="0.2">
      <c r="A5" s="2" t="s">
        <v>16</v>
      </c>
      <c r="B5" s="3">
        <v>6.3734726682769527E-2</v>
      </c>
      <c r="C5" s="3">
        <v>5.8025846369406317E-2</v>
      </c>
      <c r="D5" s="5">
        <v>4275951.3547090441</v>
      </c>
      <c r="E5" s="6" t="s">
        <v>10</v>
      </c>
      <c r="F5" s="6" t="s">
        <v>14</v>
      </c>
      <c r="G5" s="6" t="s">
        <v>15</v>
      </c>
    </row>
    <row r="6" spans="1:7" x14ac:dyDescent="0.2">
      <c r="A6" s="2" t="s">
        <v>17</v>
      </c>
      <c r="B6" s="3">
        <v>5.1737700339249883E-2</v>
      </c>
      <c r="C6" s="3">
        <v>5.0474316129972732E-2</v>
      </c>
      <c r="D6" s="5">
        <v>946274.77274858207</v>
      </c>
      <c r="E6" s="6" t="s">
        <v>10</v>
      </c>
      <c r="F6" s="6" t="s">
        <v>14</v>
      </c>
      <c r="G6" s="6" t="s">
        <v>15</v>
      </c>
    </row>
    <row r="7" spans="1:7" x14ac:dyDescent="0.2">
      <c r="A7" s="2" t="s">
        <v>18</v>
      </c>
      <c r="B7" s="3">
        <v>2.1164195220079809E-2</v>
      </c>
      <c r="C7" s="3">
        <v>2.0513945003797902E-2</v>
      </c>
      <c r="D7" s="5">
        <v>487037.41199514829</v>
      </c>
      <c r="E7" s="6" t="s">
        <v>10</v>
      </c>
      <c r="F7" s="6" t="s">
        <v>11</v>
      </c>
      <c r="G7" s="6" t="s">
        <v>12</v>
      </c>
    </row>
    <row r="8" spans="1:7" x14ac:dyDescent="0.2">
      <c r="A8" s="2" t="s">
        <v>19</v>
      </c>
      <c r="B8" s="3">
        <v>6.5077911002100822E-2</v>
      </c>
      <c r="C8" s="3">
        <v>6.4683372414694171E-2</v>
      </c>
      <c r="D8" s="5">
        <v>295509.40196757758</v>
      </c>
      <c r="E8" s="6" t="s">
        <v>10</v>
      </c>
      <c r="F8" s="6" t="s">
        <v>14</v>
      </c>
      <c r="G8" s="6" t="s">
        <v>15</v>
      </c>
    </row>
    <row r="9" spans="1:7" x14ac:dyDescent="0.2">
      <c r="A9" s="2" t="s">
        <v>20</v>
      </c>
      <c r="B9" s="3">
        <v>6.7848485378609272E-3</v>
      </c>
      <c r="C9" s="3">
        <v>6.7058660230437496E-3</v>
      </c>
      <c r="D9" s="5">
        <v>59157.903598065488</v>
      </c>
      <c r="E9" s="6" t="s">
        <v>21</v>
      </c>
      <c r="F9" s="6" t="s">
        <v>11</v>
      </c>
      <c r="G9" s="6" t="s">
        <v>12</v>
      </c>
    </row>
    <row r="10" spans="1:7" x14ac:dyDescent="0.2">
      <c r="A10" s="2" t="s">
        <v>22</v>
      </c>
      <c r="B10" s="3">
        <v>5.3754162348422106E-4</v>
      </c>
      <c r="C10" s="3">
        <v>4.9126053429557576E-4</v>
      </c>
      <c r="D10" s="5">
        <v>34664.535802295322</v>
      </c>
      <c r="E10" s="6" t="s">
        <v>21</v>
      </c>
      <c r="F10" s="6" t="s">
        <v>11</v>
      </c>
      <c r="G10" s="6" t="s">
        <v>12</v>
      </c>
    </row>
    <row r="11" spans="1:7" x14ac:dyDescent="0.2">
      <c r="A11" s="2" t="s">
        <v>23</v>
      </c>
      <c r="B11" s="3">
        <v>5.3754161747266208E-4</v>
      </c>
      <c r="C11" s="3">
        <v>5.0119177495837536E-4</v>
      </c>
      <c r="D11" s="5">
        <v>27226.032043200739</v>
      </c>
      <c r="E11" s="6" t="s">
        <v>21</v>
      </c>
      <c r="F11" s="6" t="s">
        <v>14</v>
      </c>
      <c r="G11" s="6" t="s">
        <v>12</v>
      </c>
    </row>
    <row r="13" spans="1:7" x14ac:dyDescent="0.2">
      <c r="A13" s="19" t="s">
        <v>93</v>
      </c>
      <c r="B13" s="20"/>
      <c r="C13" s="20"/>
      <c r="D13" s="20"/>
      <c r="E13" s="20"/>
      <c r="F13" s="20"/>
      <c r="G13" s="20"/>
    </row>
    <row r="14" spans="1:7" x14ac:dyDescent="0.2">
      <c r="A14" s="1" t="s">
        <v>0</v>
      </c>
      <c r="B14" s="1" t="s">
        <v>1</v>
      </c>
      <c r="C14" s="1" t="s">
        <v>82</v>
      </c>
      <c r="D14" s="1" t="s">
        <v>5</v>
      </c>
      <c r="E14" s="1" t="s">
        <v>6</v>
      </c>
      <c r="F14" s="1" t="s">
        <v>7</v>
      </c>
      <c r="G14" s="1" t="s">
        <v>8</v>
      </c>
    </row>
    <row r="15" spans="1:7" x14ac:dyDescent="0.2">
      <c r="A15" s="7" t="s">
        <v>81</v>
      </c>
      <c r="B15" s="8">
        <v>2.3522031960870469E-2</v>
      </c>
      <c r="C15" s="8">
        <v>3.2822310498189032E-2</v>
      </c>
      <c r="D15" s="10">
        <v>-6965908.6244516037</v>
      </c>
      <c r="E15" s="11" t="s">
        <v>10</v>
      </c>
      <c r="F15" s="11" t="s">
        <v>11</v>
      </c>
      <c r="G15" s="11" t="s">
        <v>12</v>
      </c>
    </row>
    <row r="16" spans="1:7" x14ac:dyDescent="0.2">
      <c r="A16" s="7" t="s">
        <v>80</v>
      </c>
      <c r="B16" s="8">
        <v>1.6039379966607689E-2</v>
      </c>
      <c r="C16" s="8">
        <v>2.229511603085161E-2</v>
      </c>
      <c r="D16" s="10">
        <v>-4685546.3121186998</v>
      </c>
      <c r="E16" s="11" t="s">
        <v>10</v>
      </c>
      <c r="F16" s="11" t="s">
        <v>14</v>
      </c>
      <c r="G16" s="11" t="s">
        <v>15</v>
      </c>
    </row>
    <row r="17" spans="1:7" x14ac:dyDescent="0.2">
      <c r="A17" s="7" t="s">
        <v>79</v>
      </c>
      <c r="B17" s="8">
        <v>1.6763582158445339E-2</v>
      </c>
      <c r="C17" s="8">
        <v>2.1073138592099999E-2</v>
      </c>
      <c r="D17" s="10">
        <v>-3227857.7688073399</v>
      </c>
      <c r="E17" s="11" t="s">
        <v>10</v>
      </c>
      <c r="F17" s="11" t="s">
        <v>14</v>
      </c>
      <c r="G17" s="11" t="s">
        <v>15</v>
      </c>
    </row>
    <row r="18" spans="1:7" x14ac:dyDescent="0.2">
      <c r="A18" s="7" t="s">
        <v>78</v>
      </c>
      <c r="B18" s="8">
        <v>8.8366485656635897E-3</v>
      </c>
      <c r="C18" s="8">
        <v>1.274164500330026E-2</v>
      </c>
      <c r="D18" s="10">
        <v>-2924842.3317898698</v>
      </c>
      <c r="E18" s="11" t="s">
        <v>10</v>
      </c>
      <c r="F18" s="11" t="s">
        <v>14</v>
      </c>
      <c r="G18" s="11" t="s">
        <v>15</v>
      </c>
    </row>
    <row r="19" spans="1:7" x14ac:dyDescent="0.2">
      <c r="A19" s="7" t="s">
        <v>77</v>
      </c>
      <c r="B19" s="8">
        <v>1.501087396579401E-2</v>
      </c>
      <c r="C19" s="8">
        <v>1.8908734216855329E-2</v>
      </c>
      <c r="D19" s="10">
        <v>-2919497.3280449249</v>
      </c>
      <c r="E19" s="11" t="s">
        <v>10</v>
      </c>
      <c r="F19" s="11" t="s">
        <v>14</v>
      </c>
      <c r="G19" s="11" t="s">
        <v>12</v>
      </c>
    </row>
    <row r="20" spans="1:7" x14ac:dyDescent="0.2">
      <c r="A20" s="7" t="s">
        <v>76</v>
      </c>
      <c r="B20" s="8">
        <v>1.064859657087011E-2</v>
      </c>
      <c r="C20" s="8">
        <v>1.3927984120728289E-2</v>
      </c>
      <c r="D20" s="10">
        <v>-2456261.2748437822</v>
      </c>
      <c r="E20" s="11" t="s">
        <v>10</v>
      </c>
      <c r="F20" s="11" t="s">
        <v>11</v>
      </c>
      <c r="G20" s="11" t="s">
        <v>15</v>
      </c>
    </row>
    <row r="21" spans="1:7" x14ac:dyDescent="0.2">
      <c r="A21" s="7" t="s">
        <v>75</v>
      </c>
      <c r="B21" s="8">
        <v>1.9590938378090131E-2</v>
      </c>
      <c r="C21" s="8">
        <v>2.2664663237112231E-2</v>
      </c>
      <c r="D21" s="10">
        <v>-2302219.9194075498</v>
      </c>
      <c r="E21" s="11" t="s">
        <v>10</v>
      </c>
      <c r="F21" s="11" t="s">
        <v>14</v>
      </c>
      <c r="G21" s="11" t="s">
        <v>15</v>
      </c>
    </row>
    <row r="22" spans="1:7" x14ac:dyDescent="0.2">
      <c r="A22" s="7" t="s">
        <v>74</v>
      </c>
      <c r="B22" s="8">
        <v>1.409784828651141E-2</v>
      </c>
      <c r="C22" s="8">
        <v>1.686235314995034E-2</v>
      </c>
      <c r="D22" s="10">
        <v>-2070614.1427157579</v>
      </c>
      <c r="E22" s="11" t="s">
        <v>10</v>
      </c>
      <c r="F22" s="11" t="s">
        <v>14</v>
      </c>
      <c r="G22" s="11" t="s">
        <v>15</v>
      </c>
    </row>
    <row r="23" spans="1:7" x14ac:dyDescent="0.2">
      <c r="A23" s="7" t="s">
        <v>73</v>
      </c>
      <c r="B23" s="8">
        <v>1.391478236189817E-2</v>
      </c>
      <c r="C23" s="8">
        <v>1.6471120561168381E-2</v>
      </c>
      <c r="D23" s="10">
        <v>-1914697.311253384</v>
      </c>
      <c r="E23" s="11" t="s">
        <v>10</v>
      </c>
      <c r="F23" s="11" t="s">
        <v>14</v>
      </c>
      <c r="G23" s="11" t="s">
        <v>15</v>
      </c>
    </row>
    <row r="24" spans="1:7" x14ac:dyDescent="0.2">
      <c r="A24" s="7" t="s">
        <v>72</v>
      </c>
      <c r="B24" s="8">
        <v>7.3937131749913206E-3</v>
      </c>
      <c r="C24" s="8">
        <v>9.8903099493522443E-3</v>
      </c>
      <c r="D24" s="10">
        <v>-1869950.9839963319</v>
      </c>
      <c r="E24" s="11" t="s">
        <v>10</v>
      </c>
      <c r="F24" s="11" t="s">
        <v>11</v>
      </c>
      <c r="G24" s="11" t="s">
        <v>12</v>
      </c>
    </row>
  </sheetData>
  <mergeCells count="2">
    <mergeCell ref="A13:G1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L6" sqref="L6"/>
    </sheetView>
  </sheetViews>
  <sheetFormatPr baseColWidth="10" defaultColWidth="8.83203125" defaultRowHeight="15" x14ac:dyDescent="0.2"/>
  <cols>
    <col min="1" max="1" width="18" customWidth="1"/>
    <col min="2" max="10" width="14" customWidth="1"/>
  </cols>
  <sheetData>
    <row r="1" spans="1:11" ht="31" customHeight="1" x14ac:dyDescent="0.2">
      <c r="A1" s="1" t="s">
        <v>0</v>
      </c>
      <c r="B1" s="1" t="s">
        <v>83</v>
      </c>
      <c r="C1" s="1" t="s">
        <v>84</v>
      </c>
      <c r="D1" s="12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22" t="s">
        <v>94</v>
      </c>
    </row>
    <row r="2" spans="1:11" x14ac:dyDescent="0.2">
      <c r="A2" s="13" t="s">
        <v>13</v>
      </c>
      <c r="B2" s="14">
        <v>91600091.824640006</v>
      </c>
      <c r="C2" s="14">
        <v>94703287.938348353</v>
      </c>
      <c r="D2" s="15">
        <v>95819622.232351288</v>
      </c>
      <c r="E2" s="14">
        <v>96492092.360895663</v>
      </c>
      <c r="F2" s="14">
        <v>97026235.204307199</v>
      </c>
      <c r="G2" s="14">
        <v>86315417.64598617</v>
      </c>
      <c r="H2" s="14">
        <v>91600091.824640006</v>
      </c>
      <c r="I2" s="14">
        <v>97026235.204307199</v>
      </c>
      <c r="J2" s="16">
        <v>5426143.3796671927</v>
      </c>
      <c r="K2">
        <f>J2/D2</f>
        <v>5.662872857617237E-2</v>
      </c>
    </row>
    <row r="3" spans="1:11" x14ac:dyDescent="0.2">
      <c r="A3" s="17" t="s">
        <v>71</v>
      </c>
      <c r="B3" s="18">
        <v>12260590.46492991</v>
      </c>
      <c r="C3" s="18">
        <v>11091901.725655491</v>
      </c>
      <c r="D3" s="15">
        <v>10020723.920298699</v>
      </c>
      <c r="E3" s="18">
        <v>9143522.1914269272</v>
      </c>
      <c r="F3" s="18">
        <v>8418192.5694173295</v>
      </c>
      <c r="G3" s="18">
        <v>11887350.672610249</v>
      </c>
      <c r="H3" s="18">
        <v>8418192.5694173295</v>
      </c>
      <c r="I3" s="18">
        <v>12260590.46492991</v>
      </c>
      <c r="J3" s="16">
        <v>3842397.8955125809</v>
      </c>
      <c r="K3">
        <f t="shared" ref="K3:K66" si="0">J3/D3</f>
        <v>0.38344514089737003</v>
      </c>
    </row>
    <row r="4" spans="1:11" x14ac:dyDescent="0.2">
      <c r="A4" s="13" t="s">
        <v>81</v>
      </c>
      <c r="B4" s="14">
        <v>19740986.393031139</v>
      </c>
      <c r="C4" s="14">
        <v>17861597.486205801</v>
      </c>
      <c r="D4" s="15">
        <v>17618001.938691981</v>
      </c>
      <c r="E4" s="14">
        <v>17654235.518119659</v>
      </c>
      <c r="F4" s="14">
        <v>17683161.791204009</v>
      </c>
      <c r="G4" s="14">
        <v>24583910.563143581</v>
      </c>
      <c r="H4" s="14">
        <v>17618001.938691981</v>
      </c>
      <c r="I4" s="14">
        <v>19740986.393031139</v>
      </c>
      <c r="J4" s="16">
        <v>2122984.4543391648</v>
      </c>
      <c r="K4">
        <f t="shared" si="0"/>
        <v>0.12050086393036134</v>
      </c>
    </row>
    <row r="5" spans="1:11" x14ac:dyDescent="0.2">
      <c r="A5" s="17" t="s">
        <v>19</v>
      </c>
      <c r="B5" s="18">
        <v>47409486.721383959</v>
      </c>
      <c r="C5" s="18">
        <v>48390403.168241337</v>
      </c>
      <c r="D5" s="15">
        <v>48743355.340573512</v>
      </c>
      <c r="E5" s="18">
        <v>48955842.323222987</v>
      </c>
      <c r="F5" s="18">
        <v>49124818.388916694</v>
      </c>
      <c r="G5" s="18">
        <v>48447845.938605927</v>
      </c>
      <c r="H5" s="18">
        <v>47409486.721383959</v>
      </c>
      <c r="I5" s="18">
        <v>49124818.388916694</v>
      </c>
      <c r="J5" s="16">
        <v>1715331.6675327269</v>
      </c>
      <c r="K5">
        <f t="shared" si="0"/>
        <v>3.5191087186090798E-2</v>
      </c>
    </row>
    <row r="6" spans="1:11" x14ac:dyDescent="0.2">
      <c r="A6" s="13" t="s">
        <v>16</v>
      </c>
      <c r="B6" s="14">
        <v>46503174.335003659</v>
      </c>
      <c r="C6" s="14">
        <v>47410749.03602127</v>
      </c>
      <c r="D6" s="15">
        <v>47737310.285394378</v>
      </c>
      <c r="E6" s="14">
        <v>47933911.351909198</v>
      </c>
      <c r="F6" s="14">
        <v>48090252.759794854</v>
      </c>
      <c r="G6" s="14">
        <v>43461358.930685326</v>
      </c>
      <c r="H6" s="14">
        <v>46503174.335003659</v>
      </c>
      <c r="I6" s="14">
        <v>48090252.759794854</v>
      </c>
      <c r="J6" s="16">
        <v>1587078.424791194</v>
      </c>
      <c r="K6">
        <f t="shared" si="0"/>
        <v>3.3246079749842415E-2</v>
      </c>
    </row>
    <row r="7" spans="1:11" x14ac:dyDescent="0.2">
      <c r="A7" s="17" t="s">
        <v>17</v>
      </c>
      <c r="B7" s="18">
        <v>37895347.716511033</v>
      </c>
      <c r="C7" s="18">
        <v>38524983.65516755</v>
      </c>
      <c r="D7" s="15">
        <v>38751537.554098159</v>
      </c>
      <c r="E7" s="18">
        <v>38887930.938703127</v>
      </c>
      <c r="F7" s="18">
        <v>38996393.094670691</v>
      </c>
      <c r="G7" s="18">
        <v>37805262.781349577</v>
      </c>
      <c r="H7" s="18">
        <v>37895347.716511033</v>
      </c>
      <c r="I7" s="18">
        <v>38996393.094670691</v>
      </c>
      <c r="J7" s="16">
        <v>1101045.378159665</v>
      </c>
      <c r="K7">
        <f t="shared" si="0"/>
        <v>2.8412946883012755E-2</v>
      </c>
    </row>
    <row r="8" spans="1:11" x14ac:dyDescent="0.2">
      <c r="A8" s="13" t="s">
        <v>61</v>
      </c>
      <c r="B8" s="14">
        <v>4463849.2720192838</v>
      </c>
      <c r="C8" s="14">
        <v>4038351.9167386931</v>
      </c>
      <c r="D8" s="15">
        <v>3857449.692833323</v>
      </c>
      <c r="E8" s="14">
        <v>3858716.2070539901</v>
      </c>
      <c r="F8" s="14">
        <v>3860060.7438929779</v>
      </c>
      <c r="G8" s="14">
        <v>4809857.9240011834</v>
      </c>
      <c r="H8" s="14">
        <v>3857449.692833323</v>
      </c>
      <c r="I8" s="14">
        <v>4463849.2720192838</v>
      </c>
      <c r="J8" s="16">
        <v>606399.57918596035</v>
      </c>
      <c r="K8">
        <f t="shared" si="0"/>
        <v>0.15720220028081708</v>
      </c>
    </row>
    <row r="9" spans="1:11" x14ac:dyDescent="0.2">
      <c r="A9" s="17" t="s">
        <v>65</v>
      </c>
      <c r="B9" s="18">
        <v>6318690.8283574563</v>
      </c>
      <c r="C9" s="18">
        <v>5739619.9901500056</v>
      </c>
      <c r="D9" s="15">
        <v>5723775.6111699734</v>
      </c>
      <c r="E9" s="18">
        <v>5727468.671208661</v>
      </c>
      <c r="F9" s="18">
        <v>5730420.3833655408</v>
      </c>
      <c r="G9" s="18">
        <v>6975762.6403899323</v>
      </c>
      <c r="H9" s="18">
        <v>5723775.6111699734</v>
      </c>
      <c r="I9" s="18">
        <v>6318690.8283574563</v>
      </c>
      <c r="J9" s="16">
        <v>594915.21718748286</v>
      </c>
      <c r="K9">
        <f t="shared" si="0"/>
        <v>0.10393755059623637</v>
      </c>
    </row>
    <row r="10" spans="1:11" x14ac:dyDescent="0.2">
      <c r="A10" s="13" t="s">
        <v>60</v>
      </c>
      <c r="B10" s="14">
        <v>1674885.4912775641</v>
      </c>
      <c r="C10" s="14">
        <v>1515234.142591503</v>
      </c>
      <c r="D10" s="15">
        <v>1368903.4989454129</v>
      </c>
      <c r="E10" s="14">
        <v>1249071.376624366</v>
      </c>
      <c r="F10" s="14">
        <v>1149986.214638534</v>
      </c>
      <c r="G10" s="14">
        <v>2238122.88661701</v>
      </c>
      <c r="H10" s="14">
        <v>1149986.214638534</v>
      </c>
      <c r="I10" s="14">
        <v>1674885.4912775641</v>
      </c>
      <c r="J10" s="16">
        <v>524899.27663903008</v>
      </c>
      <c r="K10">
        <f t="shared" si="0"/>
        <v>0.38344505441282478</v>
      </c>
    </row>
    <row r="11" spans="1:11" x14ac:dyDescent="0.2">
      <c r="A11" s="17" t="s">
        <v>56</v>
      </c>
      <c r="B11" s="18">
        <v>1656721.249434687</v>
      </c>
      <c r="C11" s="18">
        <v>1498801.329647887</v>
      </c>
      <c r="D11" s="15">
        <v>1354057.648009785</v>
      </c>
      <c r="E11" s="18">
        <v>1235525.1182565771</v>
      </c>
      <c r="F11" s="18">
        <v>1137514.4129694409</v>
      </c>
      <c r="G11" s="18">
        <v>2116053.8329692888</v>
      </c>
      <c r="H11" s="18">
        <v>1137514.4129694409</v>
      </c>
      <c r="I11" s="18">
        <v>1656721.249434687</v>
      </c>
      <c r="J11" s="16">
        <v>519206.83646524581</v>
      </c>
      <c r="K11">
        <f t="shared" si="0"/>
        <v>0.38344514890365572</v>
      </c>
    </row>
    <row r="12" spans="1:11" x14ac:dyDescent="0.2">
      <c r="A12" s="13" t="s">
        <v>78</v>
      </c>
      <c r="B12" s="14">
        <v>7051598.5022990284</v>
      </c>
      <c r="C12" s="14">
        <v>6610239.1748806126</v>
      </c>
      <c r="D12" s="15">
        <v>6618649.7756820284</v>
      </c>
      <c r="E12" s="14">
        <v>6623773.4604718499</v>
      </c>
      <c r="F12" s="14">
        <v>6627855.5843345392</v>
      </c>
      <c r="G12" s="14">
        <v>9543492.1074718982</v>
      </c>
      <c r="H12" s="14">
        <v>6610239.1748806126</v>
      </c>
      <c r="I12" s="14">
        <v>7051598.5022990284</v>
      </c>
      <c r="J12" s="16">
        <v>441359.32741841581</v>
      </c>
      <c r="K12">
        <f t="shared" si="0"/>
        <v>6.6684194265730773E-2</v>
      </c>
    </row>
    <row r="13" spans="1:11" x14ac:dyDescent="0.2">
      <c r="A13" s="17" t="s">
        <v>68</v>
      </c>
      <c r="B13" s="18">
        <v>22330096.512362272</v>
      </c>
      <c r="C13" s="18">
        <v>22561822.294150371</v>
      </c>
      <c r="D13" s="15">
        <v>22645201.374434192</v>
      </c>
      <c r="E13" s="18">
        <v>22695398.241309728</v>
      </c>
      <c r="F13" s="18">
        <v>22735316.211148039</v>
      </c>
      <c r="G13" s="18">
        <v>24172635.816596668</v>
      </c>
      <c r="H13" s="18">
        <v>22330096.512362272</v>
      </c>
      <c r="I13" s="18">
        <v>22735316.211148039</v>
      </c>
      <c r="J13" s="16">
        <v>405219.69878577441</v>
      </c>
      <c r="K13">
        <f t="shared" si="0"/>
        <v>1.7894285508242656E-2</v>
      </c>
    </row>
    <row r="14" spans="1:11" x14ac:dyDescent="0.2">
      <c r="A14" s="13" t="s">
        <v>79</v>
      </c>
      <c r="B14" s="14">
        <v>12902361.6271614</v>
      </c>
      <c r="C14" s="14">
        <v>12526713.854849041</v>
      </c>
      <c r="D14" s="15">
        <v>12555923.036675559</v>
      </c>
      <c r="E14" s="14">
        <v>12573505.42980554</v>
      </c>
      <c r="F14" s="14">
        <v>12587492.213706659</v>
      </c>
      <c r="G14" s="14">
        <v>15783780.8054829</v>
      </c>
      <c r="H14" s="14">
        <v>12526713.854849041</v>
      </c>
      <c r="I14" s="14">
        <v>12902361.6271614</v>
      </c>
      <c r="J14" s="16">
        <v>375647.77231235988</v>
      </c>
      <c r="K14">
        <f t="shared" si="0"/>
        <v>2.9917973470775624E-2</v>
      </c>
    </row>
    <row r="15" spans="1:11" x14ac:dyDescent="0.2">
      <c r="A15" s="17" t="s">
        <v>64</v>
      </c>
      <c r="B15" s="18">
        <v>3004941.6805412811</v>
      </c>
      <c r="C15" s="18">
        <v>2718510.3674730118</v>
      </c>
      <c r="D15" s="15">
        <v>2633434.8418064988</v>
      </c>
      <c r="E15" s="18">
        <v>2634180.7683123732</v>
      </c>
      <c r="F15" s="18">
        <v>2634855.2659925851</v>
      </c>
      <c r="G15" s="18">
        <v>3852722.8404282061</v>
      </c>
      <c r="H15" s="18">
        <v>2633434.8418064988</v>
      </c>
      <c r="I15" s="18">
        <v>3004941.6805412811</v>
      </c>
      <c r="J15" s="16">
        <v>371506.83873478178</v>
      </c>
      <c r="K15">
        <f t="shared" si="0"/>
        <v>0.14107310833631007</v>
      </c>
    </row>
    <row r="16" spans="1:11" x14ac:dyDescent="0.2">
      <c r="A16" s="13" t="s">
        <v>25</v>
      </c>
      <c r="B16" s="14">
        <v>1182272.104644421</v>
      </c>
      <c r="C16" s="14">
        <v>1069577.0349427869</v>
      </c>
      <c r="D16" s="15">
        <v>966284.81097722775</v>
      </c>
      <c r="E16" s="14">
        <v>881697.44212558668</v>
      </c>
      <c r="F16" s="14">
        <v>811754.87375342578</v>
      </c>
      <c r="G16" s="14">
        <v>1042732.226224622</v>
      </c>
      <c r="H16" s="14">
        <v>811754.87375342578</v>
      </c>
      <c r="I16" s="14">
        <v>1182272.104644421</v>
      </c>
      <c r="J16" s="16">
        <v>370517.23089099501</v>
      </c>
      <c r="K16">
        <f t="shared" si="0"/>
        <v>0.38344515683350311</v>
      </c>
    </row>
    <row r="17" spans="1:11" x14ac:dyDescent="0.2">
      <c r="A17" s="17" t="s">
        <v>46</v>
      </c>
      <c r="B17" s="18">
        <v>1096064.77039081</v>
      </c>
      <c r="C17" s="18">
        <v>991587.04972950043</v>
      </c>
      <c r="D17" s="15">
        <v>895826.55650138622</v>
      </c>
      <c r="E17" s="18">
        <v>817407.00386234384</v>
      </c>
      <c r="F17" s="18">
        <v>752568.21302513522</v>
      </c>
      <c r="G17" s="18">
        <v>1258794.2174855671</v>
      </c>
      <c r="H17" s="18">
        <v>752568.21302513522</v>
      </c>
      <c r="I17" s="18">
        <v>1096064.77039081</v>
      </c>
      <c r="J17" s="16">
        <v>343496.55736567453</v>
      </c>
      <c r="K17">
        <f t="shared" si="0"/>
        <v>0.38344091819200604</v>
      </c>
    </row>
    <row r="18" spans="1:11" x14ac:dyDescent="0.2">
      <c r="A18" s="13" t="s">
        <v>69</v>
      </c>
      <c r="B18" s="14">
        <v>17423451.532060489</v>
      </c>
      <c r="C18" s="14">
        <v>17570070.57662436</v>
      </c>
      <c r="D18" s="15">
        <v>17622826.723849058</v>
      </c>
      <c r="E18" s="14">
        <v>17654587.605727859</v>
      </c>
      <c r="F18" s="14">
        <v>17679844.764969662</v>
      </c>
      <c r="G18" s="14">
        <v>19259713.35720541</v>
      </c>
      <c r="H18" s="14">
        <v>17423451.532060489</v>
      </c>
      <c r="I18" s="14">
        <v>17679844.764969662</v>
      </c>
      <c r="J18" s="16">
        <v>256393.23290916529</v>
      </c>
      <c r="K18">
        <f t="shared" si="0"/>
        <v>1.4548927758688513E-2</v>
      </c>
    </row>
    <row r="19" spans="1:11" x14ac:dyDescent="0.2">
      <c r="A19" s="17" t="s">
        <v>53</v>
      </c>
      <c r="B19" s="18">
        <v>1022172.7703292</v>
      </c>
      <c r="C19" s="18">
        <v>924738.49475356506</v>
      </c>
      <c r="D19" s="15">
        <v>835435.22680095804</v>
      </c>
      <c r="E19" s="18">
        <v>787694.18346572306</v>
      </c>
      <c r="F19" s="18">
        <v>787746.5169010961</v>
      </c>
      <c r="G19" s="18">
        <v>1350308.8790819149</v>
      </c>
      <c r="H19" s="18">
        <v>787694.18346572306</v>
      </c>
      <c r="I19" s="18">
        <v>1022172.7703292</v>
      </c>
      <c r="J19" s="16">
        <v>234478.5868634771</v>
      </c>
      <c r="K19">
        <f t="shared" si="0"/>
        <v>0.28066638722111426</v>
      </c>
    </row>
    <row r="20" spans="1:11" x14ac:dyDescent="0.2">
      <c r="A20" s="13" t="s">
        <v>54</v>
      </c>
      <c r="B20" s="14">
        <v>4198872.0977366436</v>
      </c>
      <c r="C20" s="14">
        <v>3969844.8974081939</v>
      </c>
      <c r="D20" s="15">
        <v>3972732.7869033781</v>
      </c>
      <c r="E20" s="14">
        <v>3974477.4191374462</v>
      </c>
      <c r="F20" s="14">
        <v>3975869.5926523302</v>
      </c>
      <c r="G20" s="14">
        <v>4519775.0274246084</v>
      </c>
      <c r="H20" s="14">
        <v>3969844.8974081939</v>
      </c>
      <c r="I20" s="14">
        <v>4198872.0977366436</v>
      </c>
      <c r="J20" s="16">
        <v>229027.20032844931</v>
      </c>
      <c r="K20">
        <f t="shared" si="0"/>
        <v>5.7649787341214287E-2</v>
      </c>
    </row>
    <row r="21" spans="1:11" x14ac:dyDescent="0.2">
      <c r="A21" s="17" t="s">
        <v>18</v>
      </c>
      <c r="B21" s="18">
        <v>15696454.828902571</v>
      </c>
      <c r="C21" s="18">
        <v>15810826.89447833</v>
      </c>
      <c r="D21" s="15">
        <v>15851982.21983978</v>
      </c>
      <c r="E21" s="18">
        <v>15876755.394705961</v>
      </c>
      <c r="F21" s="18">
        <v>15896460.12496784</v>
      </c>
      <c r="G21" s="18">
        <v>15364944.80784463</v>
      </c>
      <c r="H21" s="18">
        <v>15696454.828902571</v>
      </c>
      <c r="I21" s="18">
        <v>15896460.12496784</v>
      </c>
      <c r="J21" s="16">
        <v>200005.2960652709</v>
      </c>
      <c r="K21">
        <f t="shared" si="0"/>
        <v>1.2617052762963066E-2</v>
      </c>
    </row>
    <row r="22" spans="1:11" x14ac:dyDescent="0.2">
      <c r="A22" s="13" t="s">
        <v>63</v>
      </c>
      <c r="B22" s="14">
        <v>1564681.218973171</v>
      </c>
      <c r="C22" s="14">
        <v>1415535.593068558</v>
      </c>
      <c r="D22" s="15">
        <v>1365694.491581508</v>
      </c>
      <c r="E22" s="14">
        <v>1365852.214234082</v>
      </c>
      <c r="F22" s="14">
        <v>1366056.064948892</v>
      </c>
      <c r="G22" s="14">
        <v>2358031.8267277009</v>
      </c>
      <c r="H22" s="14">
        <v>1365694.491581508</v>
      </c>
      <c r="I22" s="14">
        <v>1564681.218973171</v>
      </c>
      <c r="J22" s="16">
        <v>198986.7273916628</v>
      </c>
      <c r="K22">
        <f t="shared" si="0"/>
        <v>0.14570369040679901</v>
      </c>
    </row>
    <row r="23" spans="1:11" x14ac:dyDescent="0.2">
      <c r="A23" s="17" t="s">
        <v>75</v>
      </c>
      <c r="B23" s="18">
        <v>14533057.51444033</v>
      </c>
      <c r="C23" s="18">
        <v>14636420.669291191</v>
      </c>
      <c r="D23" s="15">
        <v>14673612.84518951</v>
      </c>
      <c r="E23" s="18">
        <v>14696003.217858311</v>
      </c>
      <c r="F23" s="18">
        <v>14713809.350817241</v>
      </c>
      <c r="G23" s="18">
        <v>16975832.764597058</v>
      </c>
      <c r="H23" s="18">
        <v>14533057.51444033</v>
      </c>
      <c r="I23" s="18">
        <v>14713809.350817241</v>
      </c>
      <c r="J23" s="16">
        <v>180751.836376911</v>
      </c>
      <c r="K23">
        <f t="shared" si="0"/>
        <v>1.2318154927753008E-2</v>
      </c>
    </row>
    <row r="24" spans="1:11" x14ac:dyDescent="0.2">
      <c r="A24" s="13" t="s">
        <v>28</v>
      </c>
      <c r="B24" s="14">
        <v>513072.97542762692</v>
      </c>
      <c r="C24" s="14">
        <v>464166.47214058961</v>
      </c>
      <c r="D24" s="15">
        <v>419340.54087597743</v>
      </c>
      <c r="E24" s="14">
        <v>382631.9902442671</v>
      </c>
      <c r="F24" s="14">
        <v>352278.89119159378</v>
      </c>
      <c r="G24" s="14">
        <v>537919.99921785155</v>
      </c>
      <c r="H24" s="14">
        <v>352278.89119159378</v>
      </c>
      <c r="I24" s="14">
        <v>513072.97542762692</v>
      </c>
      <c r="J24" s="16">
        <v>160794.084236033</v>
      </c>
      <c r="K24">
        <f t="shared" si="0"/>
        <v>0.38344512052219831</v>
      </c>
    </row>
    <row r="25" spans="1:11" x14ac:dyDescent="0.2">
      <c r="A25" s="17" t="s">
        <v>23</v>
      </c>
      <c r="B25" s="18">
        <v>492613.37737914489</v>
      </c>
      <c r="C25" s="18">
        <v>445657.09829161997</v>
      </c>
      <c r="D25" s="15">
        <v>402618.67148702388</v>
      </c>
      <c r="E25" s="18">
        <v>367373.93423007737</v>
      </c>
      <c r="F25" s="18">
        <v>338231.19915196818</v>
      </c>
      <c r="G25" s="18">
        <v>375392.63944382308</v>
      </c>
      <c r="H25" s="18">
        <v>338231.19915196818</v>
      </c>
      <c r="I25" s="18">
        <v>492613.37737914489</v>
      </c>
      <c r="J25" s="16">
        <v>154382.1782271768</v>
      </c>
      <c r="K25">
        <f t="shared" si="0"/>
        <v>0.38344515334319867</v>
      </c>
    </row>
    <row r="26" spans="1:11" x14ac:dyDescent="0.2">
      <c r="A26" s="13" t="s">
        <v>26</v>
      </c>
      <c r="B26" s="14">
        <v>492613.37723685481</v>
      </c>
      <c r="C26" s="14">
        <v>445657.09816241369</v>
      </c>
      <c r="D26" s="15">
        <v>402618.6713668282</v>
      </c>
      <c r="E26" s="14">
        <v>367373.934227511</v>
      </c>
      <c r="F26" s="14">
        <v>338231.19917029142</v>
      </c>
      <c r="G26" s="14">
        <v>501360.31500688661</v>
      </c>
      <c r="H26" s="14">
        <v>338231.19917029142</v>
      </c>
      <c r="I26" s="14">
        <v>492613.37723685481</v>
      </c>
      <c r="J26" s="16">
        <v>154382.17806656341</v>
      </c>
      <c r="K26">
        <f t="shared" si="0"/>
        <v>0.38344515305874854</v>
      </c>
    </row>
    <row r="27" spans="1:11" x14ac:dyDescent="0.2">
      <c r="A27" s="17" t="s">
        <v>24</v>
      </c>
      <c r="B27" s="18">
        <v>492613.37835043733</v>
      </c>
      <c r="C27" s="18">
        <v>445657.09923044062</v>
      </c>
      <c r="D27" s="15">
        <v>402618.67264831421</v>
      </c>
      <c r="E27" s="18">
        <v>367373.93427929538</v>
      </c>
      <c r="F27" s="18">
        <v>338231.20097712131</v>
      </c>
      <c r="G27" s="18">
        <v>453671.01566712093</v>
      </c>
      <c r="H27" s="18">
        <v>338231.20097712131</v>
      </c>
      <c r="I27" s="18">
        <v>492613.37835043733</v>
      </c>
      <c r="J27" s="16">
        <v>154382.17737331599</v>
      </c>
      <c r="K27">
        <f t="shared" si="0"/>
        <v>0.38344515011644331</v>
      </c>
    </row>
    <row r="28" spans="1:11" x14ac:dyDescent="0.2">
      <c r="A28" s="13" t="s">
        <v>32</v>
      </c>
      <c r="B28" s="14">
        <v>492613.37876813818</v>
      </c>
      <c r="C28" s="14">
        <v>445657.09967259492</v>
      </c>
      <c r="D28" s="15">
        <v>402618.67316492088</v>
      </c>
      <c r="E28" s="14">
        <v>367373.93431014998</v>
      </c>
      <c r="F28" s="14">
        <v>338231.21108864009</v>
      </c>
      <c r="G28" s="14">
        <v>578289.51549507794</v>
      </c>
      <c r="H28" s="14">
        <v>338231.21108864009</v>
      </c>
      <c r="I28" s="14">
        <v>492613.37876813818</v>
      </c>
      <c r="J28" s="16">
        <v>154382.16767949809</v>
      </c>
      <c r="K28">
        <f t="shared" si="0"/>
        <v>0.3834451255475177</v>
      </c>
    </row>
    <row r="29" spans="1:11" x14ac:dyDescent="0.2">
      <c r="A29" s="17" t="s">
        <v>22</v>
      </c>
      <c r="B29" s="18">
        <v>492613.38161724829</v>
      </c>
      <c r="C29" s="18">
        <v>445657.10299790557</v>
      </c>
      <c r="D29" s="15">
        <v>402618.67598968162</v>
      </c>
      <c r="E29" s="18">
        <v>367374.0772487662</v>
      </c>
      <c r="F29" s="18">
        <v>347387.80494492978</v>
      </c>
      <c r="G29" s="18">
        <v>367954.14018738619</v>
      </c>
      <c r="H29" s="18">
        <v>347387.80494492978</v>
      </c>
      <c r="I29" s="18">
        <v>492613.38161724829</v>
      </c>
      <c r="J29" s="16">
        <v>145225.5766723186</v>
      </c>
      <c r="K29">
        <f t="shared" si="0"/>
        <v>0.36070253401767299</v>
      </c>
    </row>
    <row r="30" spans="1:11" x14ac:dyDescent="0.2">
      <c r="A30" s="13" t="s">
        <v>77</v>
      </c>
      <c r="B30" s="14">
        <v>11155646.92867999</v>
      </c>
      <c r="C30" s="14">
        <v>11219991.50727861</v>
      </c>
      <c r="D30" s="15">
        <v>11243144.600379709</v>
      </c>
      <c r="E30" s="14">
        <v>11257082.24058724</v>
      </c>
      <c r="F30" s="14">
        <v>11268167.064032201</v>
      </c>
      <c r="G30" s="14">
        <v>14162641.92842464</v>
      </c>
      <c r="H30" s="14">
        <v>11155646.92867999</v>
      </c>
      <c r="I30" s="14">
        <v>11268167.064032201</v>
      </c>
      <c r="J30" s="16">
        <v>112520.1353522167</v>
      </c>
      <c r="K30">
        <f t="shared" si="0"/>
        <v>1.0007888304524397E-2</v>
      </c>
    </row>
    <row r="31" spans="1:11" x14ac:dyDescent="0.2">
      <c r="A31" s="17" t="s">
        <v>57</v>
      </c>
      <c r="B31" s="18">
        <v>11210269.584368439</v>
      </c>
      <c r="C31" s="18">
        <v>11269646.348241771</v>
      </c>
      <c r="D31" s="15">
        <v>11291016.847671431</v>
      </c>
      <c r="E31" s="18">
        <v>11303873.453188069</v>
      </c>
      <c r="F31" s="18">
        <v>11314108.593981929</v>
      </c>
      <c r="G31" s="18">
        <v>12063754.848723119</v>
      </c>
      <c r="H31" s="18">
        <v>11210269.584368439</v>
      </c>
      <c r="I31" s="18">
        <v>11314108.593981929</v>
      </c>
      <c r="J31" s="16">
        <v>103839.0096134879</v>
      </c>
      <c r="K31">
        <f t="shared" si="0"/>
        <v>9.1966039032970563E-3</v>
      </c>
    </row>
    <row r="32" spans="1:11" x14ac:dyDescent="0.2">
      <c r="A32" s="13" t="s">
        <v>74</v>
      </c>
      <c r="B32" s="14">
        <v>10484816.89580364</v>
      </c>
      <c r="C32" s="14">
        <v>10539582.15127608</v>
      </c>
      <c r="D32" s="15">
        <v>10559288.366597051</v>
      </c>
      <c r="E32" s="14">
        <v>10571150.93404866</v>
      </c>
      <c r="F32" s="14">
        <v>10580585.794547191</v>
      </c>
      <c r="G32" s="14">
        <v>12629902.509312799</v>
      </c>
      <c r="H32" s="14">
        <v>10484816.89580364</v>
      </c>
      <c r="I32" s="14">
        <v>10580585.794547191</v>
      </c>
      <c r="J32" s="16">
        <v>95768.898743549362</v>
      </c>
      <c r="K32">
        <f t="shared" si="0"/>
        <v>9.0696357006881199E-3</v>
      </c>
    </row>
    <row r="33" spans="1:11" x14ac:dyDescent="0.2">
      <c r="A33" s="17" t="s">
        <v>73</v>
      </c>
      <c r="B33" s="18">
        <v>10349817.310000431</v>
      </c>
      <c r="C33" s="18">
        <v>10403025.992735369</v>
      </c>
      <c r="D33" s="15">
        <v>10422171.98906173</v>
      </c>
      <c r="E33" s="18">
        <v>10433697.508669339</v>
      </c>
      <c r="F33" s="18">
        <v>10442864.11983425</v>
      </c>
      <c r="G33" s="18">
        <v>12336869.300315119</v>
      </c>
      <c r="H33" s="18">
        <v>10349817.310000431</v>
      </c>
      <c r="I33" s="18">
        <v>10442864.11983425</v>
      </c>
      <c r="J33" s="16">
        <v>93046.809833824635</v>
      </c>
      <c r="K33">
        <f t="shared" si="0"/>
        <v>8.9277753170336326E-3</v>
      </c>
    </row>
    <row r="34" spans="1:11" x14ac:dyDescent="0.2">
      <c r="A34" s="13" t="s">
        <v>80</v>
      </c>
      <c r="B34" s="14">
        <v>11968389.004027979</v>
      </c>
      <c r="C34" s="14">
        <v>11986626.790758351</v>
      </c>
      <c r="D34" s="15">
        <v>12013495.59498916</v>
      </c>
      <c r="E34" s="14">
        <v>12029667.236548889</v>
      </c>
      <c r="F34" s="14">
        <v>12042531.32829514</v>
      </c>
      <c r="G34" s="14">
        <v>16699041.90710786</v>
      </c>
      <c r="H34" s="14">
        <v>11968389.004027979</v>
      </c>
      <c r="I34" s="14">
        <v>12042531.32829514</v>
      </c>
      <c r="J34" s="16">
        <v>74142.324267152697</v>
      </c>
      <c r="K34">
        <f t="shared" si="0"/>
        <v>6.1715862532198814E-3</v>
      </c>
    </row>
    <row r="35" spans="1:11" x14ac:dyDescent="0.2">
      <c r="A35" s="17" t="s">
        <v>62</v>
      </c>
      <c r="B35" s="18">
        <v>9214778.2491879314</v>
      </c>
      <c r="C35" s="18">
        <v>9256235.6975114681</v>
      </c>
      <c r="D35" s="15">
        <v>9271153.2744009495</v>
      </c>
      <c r="E35" s="18">
        <v>9280133.3464551065</v>
      </c>
      <c r="F35" s="18">
        <v>9287275.6550171413</v>
      </c>
      <c r="G35" s="18">
        <v>10256596.837699261</v>
      </c>
      <c r="H35" s="18">
        <v>9214778.2491879314</v>
      </c>
      <c r="I35" s="18">
        <v>9287275.6550171413</v>
      </c>
      <c r="J35" s="16">
        <v>72497.405829209834</v>
      </c>
      <c r="K35">
        <f t="shared" si="0"/>
        <v>7.8196750375582828E-3</v>
      </c>
    </row>
    <row r="36" spans="1:11" x14ac:dyDescent="0.2">
      <c r="A36" s="13" t="s">
        <v>66</v>
      </c>
      <c r="B36" s="14">
        <v>8682199.7285042889</v>
      </c>
      <c r="C36" s="14">
        <v>8720648.1105882358</v>
      </c>
      <c r="D36" s="15">
        <v>8734482.8047735076</v>
      </c>
      <c r="E36" s="14">
        <v>8742811.2306915727</v>
      </c>
      <c r="F36" s="14">
        <v>8749434.8141570352</v>
      </c>
      <c r="G36" s="14">
        <v>10098446.539790969</v>
      </c>
      <c r="H36" s="14">
        <v>8682199.7285042889</v>
      </c>
      <c r="I36" s="14">
        <v>8749434.8141570352</v>
      </c>
      <c r="J36" s="16">
        <v>67235.08565274626</v>
      </c>
      <c r="K36">
        <f t="shared" si="0"/>
        <v>7.6976607723128632E-3</v>
      </c>
    </row>
    <row r="37" spans="1:11" x14ac:dyDescent="0.2">
      <c r="A37" s="17" t="s">
        <v>55</v>
      </c>
      <c r="B37" s="18">
        <v>1325377.1104652639</v>
      </c>
      <c r="C37" s="18">
        <v>1263109.813384258</v>
      </c>
      <c r="D37" s="15">
        <v>1263431.775201492</v>
      </c>
      <c r="E37" s="18">
        <v>1263626.0044116341</v>
      </c>
      <c r="F37" s="18">
        <v>1263781.394344908</v>
      </c>
      <c r="G37" s="18">
        <v>1872213.0658783801</v>
      </c>
      <c r="H37" s="18">
        <v>1263109.813384258</v>
      </c>
      <c r="I37" s="18">
        <v>1325377.1104652639</v>
      </c>
      <c r="J37" s="16">
        <v>62267.29708100576</v>
      </c>
      <c r="K37">
        <f t="shared" si="0"/>
        <v>4.9284257609458475E-2</v>
      </c>
    </row>
    <row r="38" spans="1:11" x14ac:dyDescent="0.2">
      <c r="A38" s="13" t="s">
        <v>76</v>
      </c>
      <c r="B38" s="14">
        <v>7931185.734372207</v>
      </c>
      <c r="C38" s="14">
        <v>7963993.0498051001</v>
      </c>
      <c r="D38" s="15">
        <v>7975798.8315817099</v>
      </c>
      <c r="E38" s="14">
        <v>7982904.5076118782</v>
      </c>
      <c r="F38" s="14">
        <v>7988556.8509539142</v>
      </c>
      <c r="G38" s="14">
        <v>10432060.10642549</v>
      </c>
      <c r="H38" s="14">
        <v>7931185.734372207</v>
      </c>
      <c r="I38" s="14">
        <v>7988556.8509539142</v>
      </c>
      <c r="J38" s="16">
        <v>57371.116581707262</v>
      </c>
      <c r="K38">
        <f t="shared" si="0"/>
        <v>7.1931499017421664E-3</v>
      </c>
    </row>
    <row r="39" spans="1:11" x14ac:dyDescent="0.2">
      <c r="A39" s="17" t="s">
        <v>50</v>
      </c>
      <c r="B39" s="18">
        <v>938808.77872616134</v>
      </c>
      <c r="C39" s="18">
        <v>891456.35366626596</v>
      </c>
      <c r="D39" s="15">
        <v>891613.06000149623</v>
      </c>
      <c r="E39" s="18">
        <v>891708.17917042796</v>
      </c>
      <c r="F39" s="18">
        <v>891784.51540132589</v>
      </c>
      <c r="G39" s="18">
        <v>1292184.0114238621</v>
      </c>
      <c r="H39" s="18">
        <v>891456.35366626596</v>
      </c>
      <c r="I39" s="18">
        <v>938808.77872616134</v>
      </c>
      <c r="J39" s="16">
        <v>47352.42505989538</v>
      </c>
      <c r="K39">
        <f t="shared" si="0"/>
        <v>5.3108716307739952E-2</v>
      </c>
    </row>
    <row r="40" spans="1:11" x14ac:dyDescent="0.2">
      <c r="A40" s="13" t="s">
        <v>33</v>
      </c>
      <c r="B40" s="14">
        <v>7172104.7828084389</v>
      </c>
      <c r="C40" s="14">
        <v>7196588.7299589682</v>
      </c>
      <c r="D40" s="15">
        <v>7205398.5335001945</v>
      </c>
      <c r="E40" s="14">
        <v>7210702.2427940276</v>
      </c>
      <c r="F40" s="14">
        <v>7214920.3063754076</v>
      </c>
      <c r="G40" s="14">
        <v>7385315.6309198504</v>
      </c>
      <c r="H40" s="14">
        <v>7172104.7828084389</v>
      </c>
      <c r="I40" s="14">
        <v>7214920.3063754076</v>
      </c>
      <c r="J40" s="16">
        <v>42815.523566968739</v>
      </c>
      <c r="K40">
        <f t="shared" si="0"/>
        <v>5.9421450968889121E-3</v>
      </c>
    </row>
    <row r="41" spans="1:11" x14ac:dyDescent="0.2">
      <c r="A41" s="17" t="s">
        <v>59</v>
      </c>
      <c r="B41" s="18">
        <v>6972489.3138062758</v>
      </c>
      <c r="C41" s="18">
        <v>6996387.5083541134</v>
      </c>
      <c r="D41" s="15">
        <v>7004986.7301475024</v>
      </c>
      <c r="E41" s="18">
        <v>7010163.3259157734</v>
      </c>
      <c r="F41" s="18">
        <v>7014280.4950359473</v>
      </c>
      <c r="G41" s="18">
        <v>7846795.7706073606</v>
      </c>
      <c r="H41" s="18">
        <v>6972489.3138062758</v>
      </c>
      <c r="I41" s="18">
        <v>7014280.4950359473</v>
      </c>
      <c r="J41" s="16">
        <v>41791.181229671463</v>
      </c>
      <c r="K41">
        <f t="shared" si="0"/>
        <v>5.9659186861573789E-3</v>
      </c>
    </row>
    <row r="42" spans="1:11" x14ac:dyDescent="0.2">
      <c r="A42" s="13" t="s">
        <v>31</v>
      </c>
      <c r="B42" s="14">
        <v>492613.39869442419</v>
      </c>
      <c r="C42" s="14">
        <v>452593.41081020498</v>
      </c>
      <c r="D42" s="15">
        <v>452413.30029406218</v>
      </c>
      <c r="E42" s="14">
        <v>452436.57259303803</v>
      </c>
      <c r="F42" s="14">
        <v>452456.17916339799</v>
      </c>
      <c r="G42" s="14">
        <v>617073.82402837987</v>
      </c>
      <c r="H42" s="14">
        <v>452413.30029406218</v>
      </c>
      <c r="I42" s="14">
        <v>492613.39869442419</v>
      </c>
      <c r="J42" s="16">
        <v>40200.098400362011</v>
      </c>
      <c r="K42">
        <f t="shared" si="0"/>
        <v>8.885702160885306E-2</v>
      </c>
    </row>
    <row r="43" spans="1:11" x14ac:dyDescent="0.2">
      <c r="A43" s="17" t="s">
        <v>51</v>
      </c>
      <c r="B43" s="18">
        <v>1251746.1054754551</v>
      </c>
      <c r="C43" s="18">
        <v>1220435.5239847819</v>
      </c>
      <c r="D43" s="15">
        <v>1220722.768335799</v>
      </c>
      <c r="E43" s="18">
        <v>1220895.1667574181</v>
      </c>
      <c r="F43" s="18">
        <v>1221032.971565054</v>
      </c>
      <c r="G43" s="18">
        <v>1684880.630264899</v>
      </c>
      <c r="H43" s="18">
        <v>1220435.5239847819</v>
      </c>
      <c r="I43" s="18">
        <v>1251746.1054754551</v>
      </c>
      <c r="J43" s="16">
        <v>31310.58149067219</v>
      </c>
      <c r="K43">
        <f t="shared" si="0"/>
        <v>2.5649215614580237E-2</v>
      </c>
    </row>
    <row r="44" spans="1:11" x14ac:dyDescent="0.2">
      <c r="A44" s="13" t="s">
        <v>72</v>
      </c>
      <c r="B44" s="14">
        <v>5514675.0384169444</v>
      </c>
      <c r="C44" s="14">
        <v>5531734.2483454468</v>
      </c>
      <c r="D44" s="15">
        <v>5537891.1680684993</v>
      </c>
      <c r="E44" s="14">
        <v>5541595.9946523709</v>
      </c>
      <c r="F44" s="14">
        <v>5544543.7061323645</v>
      </c>
      <c r="G44" s="14">
        <v>7407842.152064831</v>
      </c>
      <c r="H44" s="14">
        <v>5514675.0384169444</v>
      </c>
      <c r="I44" s="14">
        <v>5544543.7061323645</v>
      </c>
      <c r="J44" s="16">
        <v>29868.66771541908</v>
      </c>
      <c r="K44">
        <f t="shared" si="0"/>
        <v>5.3935093357633905E-3</v>
      </c>
    </row>
    <row r="45" spans="1:11" x14ac:dyDescent="0.2">
      <c r="A45" s="17" t="s">
        <v>37</v>
      </c>
      <c r="B45" s="18">
        <v>5928218.123906292</v>
      </c>
      <c r="C45" s="18">
        <v>5945286.6370756943</v>
      </c>
      <c r="D45" s="15">
        <v>5951428.311019673</v>
      </c>
      <c r="E45" s="18">
        <v>5955125.5746141598</v>
      </c>
      <c r="F45" s="18">
        <v>5958066.1683704127</v>
      </c>
      <c r="G45" s="18">
        <v>6194109.2935173092</v>
      </c>
      <c r="H45" s="18">
        <v>5928218.123906292</v>
      </c>
      <c r="I45" s="18">
        <v>5958066.1683704127</v>
      </c>
      <c r="J45" s="16">
        <v>29848.044464120641</v>
      </c>
      <c r="K45">
        <f t="shared" si="0"/>
        <v>5.0152741332452847E-3</v>
      </c>
    </row>
    <row r="46" spans="1:11" x14ac:dyDescent="0.2">
      <c r="A46" s="13" t="s">
        <v>70</v>
      </c>
      <c r="B46" s="14">
        <v>3444304.1460921159</v>
      </c>
      <c r="C46" s="14">
        <v>3414696.43286611</v>
      </c>
      <c r="D46" s="15">
        <v>3417108.2448133081</v>
      </c>
      <c r="E46" s="14">
        <v>3418558.9698927691</v>
      </c>
      <c r="F46" s="14">
        <v>3419713.916652902</v>
      </c>
      <c r="G46" s="14">
        <v>5114267.1898293924</v>
      </c>
      <c r="H46" s="14">
        <v>3414696.43286611</v>
      </c>
      <c r="I46" s="14">
        <v>3444304.1460921159</v>
      </c>
      <c r="J46" s="16">
        <v>29607.71322600637</v>
      </c>
      <c r="K46">
        <f t="shared" si="0"/>
        <v>8.6645523363056264E-3</v>
      </c>
    </row>
    <row r="47" spans="1:11" x14ac:dyDescent="0.2">
      <c r="A47" s="17" t="s">
        <v>30</v>
      </c>
      <c r="B47" s="18">
        <v>5884801.1752411034</v>
      </c>
      <c r="C47" s="18">
        <v>5901588.2972161686</v>
      </c>
      <c r="D47" s="15">
        <v>5907628.6298819967</v>
      </c>
      <c r="E47" s="18">
        <v>5911265.0507448409</v>
      </c>
      <c r="F47" s="18">
        <v>5914157.0468492089</v>
      </c>
      <c r="G47" s="18">
        <v>6048050.7527466854</v>
      </c>
      <c r="H47" s="18">
        <v>5884801.1752411034</v>
      </c>
      <c r="I47" s="18">
        <v>5914157.0468492089</v>
      </c>
      <c r="J47" s="16">
        <v>29355.871608105492</v>
      </c>
      <c r="K47">
        <f t="shared" si="0"/>
        <v>4.9691464117459037E-3</v>
      </c>
    </row>
    <row r="48" spans="1:11" x14ac:dyDescent="0.2">
      <c r="A48" s="13" t="s">
        <v>48</v>
      </c>
      <c r="B48" s="14">
        <v>994033.26470045408</v>
      </c>
      <c r="C48" s="14">
        <v>966362.75500933407</v>
      </c>
      <c r="D48" s="15">
        <v>966544.70952128398</v>
      </c>
      <c r="E48" s="14">
        <v>966653.98436042888</v>
      </c>
      <c r="F48" s="14">
        <v>966741.32883488329</v>
      </c>
      <c r="G48" s="14">
        <v>1340467.457404115</v>
      </c>
      <c r="H48" s="14">
        <v>966362.75500933407</v>
      </c>
      <c r="I48" s="14">
        <v>994033.26470045408</v>
      </c>
      <c r="J48" s="16">
        <v>27670.509691120009</v>
      </c>
      <c r="K48">
        <f t="shared" si="0"/>
        <v>2.8628277014546823E-2</v>
      </c>
    </row>
    <row r="49" spans="1:11" x14ac:dyDescent="0.2">
      <c r="A49" s="17" t="s">
        <v>47</v>
      </c>
      <c r="B49" s="18">
        <v>1196522.933818033</v>
      </c>
      <c r="C49" s="18">
        <v>1170264.7562653569</v>
      </c>
      <c r="D49" s="15">
        <v>1170518.4553951439</v>
      </c>
      <c r="E49" s="18">
        <v>1170669.965404965</v>
      </c>
      <c r="F49" s="18">
        <v>1170791.997765953</v>
      </c>
      <c r="G49" s="18">
        <v>1535919.3989585091</v>
      </c>
      <c r="H49" s="18">
        <v>1170264.7562653569</v>
      </c>
      <c r="I49" s="18">
        <v>1196522.933818033</v>
      </c>
      <c r="J49" s="16">
        <v>26258.177552675599</v>
      </c>
      <c r="K49">
        <f t="shared" si="0"/>
        <v>2.2432946214257985E-2</v>
      </c>
    </row>
    <row r="50" spans="1:11" x14ac:dyDescent="0.2">
      <c r="A50" s="13" t="s">
        <v>20</v>
      </c>
      <c r="B50" s="14">
        <v>5065134.6781089967</v>
      </c>
      <c r="C50" s="14">
        <v>5077428.078448846</v>
      </c>
      <c r="D50" s="15">
        <v>5081851.5548578342</v>
      </c>
      <c r="E50" s="14">
        <v>5084514.4522333089</v>
      </c>
      <c r="F50" s="14">
        <v>5086632.0191891817</v>
      </c>
      <c r="G50" s="14">
        <v>5022693.6512597688</v>
      </c>
      <c r="H50" s="14">
        <v>5065134.6781089967</v>
      </c>
      <c r="I50" s="14">
        <v>5086632.0191891817</v>
      </c>
      <c r="J50" s="16">
        <v>21497.34108018503</v>
      </c>
      <c r="K50">
        <f t="shared" si="0"/>
        <v>4.230218228164365E-3</v>
      </c>
    </row>
    <row r="51" spans="1:11" x14ac:dyDescent="0.2">
      <c r="A51" s="17" t="s">
        <v>44</v>
      </c>
      <c r="B51" s="18">
        <v>4475649.4800547129</v>
      </c>
      <c r="C51" s="18">
        <v>4485631.2113611717</v>
      </c>
      <c r="D51" s="15">
        <v>4489224.507257198</v>
      </c>
      <c r="E51" s="18">
        <v>4491385.0575703867</v>
      </c>
      <c r="F51" s="18">
        <v>4493106.6255679997</v>
      </c>
      <c r="G51" s="18">
        <v>4821692.0046058167</v>
      </c>
      <c r="H51" s="18">
        <v>4475649.4800547129</v>
      </c>
      <c r="I51" s="18">
        <v>4493106.6255679997</v>
      </c>
      <c r="J51" s="16">
        <v>17457.14551328681</v>
      </c>
      <c r="K51">
        <f t="shared" si="0"/>
        <v>3.8886773172216961E-3</v>
      </c>
    </row>
    <row r="52" spans="1:11" x14ac:dyDescent="0.2">
      <c r="A52" s="13" t="s">
        <v>41</v>
      </c>
      <c r="B52" s="14">
        <v>4028347.1427940121</v>
      </c>
      <c r="C52" s="14">
        <v>4036226.8987690909</v>
      </c>
      <c r="D52" s="15">
        <v>4039063.285213667</v>
      </c>
      <c r="E52" s="14">
        <v>4040769.072359228</v>
      </c>
      <c r="F52" s="14">
        <v>4042127.1835458418</v>
      </c>
      <c r="G52" s="14">
        <v>4326212.3924889956</v>
      </c>
      <c r="H52" s="14">
        <v>4028347.1427940121</v>
      </c>
      <c r="I52" s="14">
        <v>4042127.1835458418</v>
      </c>
      <c r="J52" s="16">
        <v>13780.04075182974</v>
      </c>
      <c r="K52">
        <f t="shared" si="0"/>
        <v>3.4116922114778834E-3</v>
      </c>
    </row>
    <row r="53" spans="1:11" x14ac:dyDescent="0.2">
      <c r="A53" s="17" t="s">
        <v>45</v>
      </c>
      <c r="B53" s="18">
        <v>902052.0483903829</v>
      </c>
      <c r="C53" s="18">
        <v>888645.75296744041</v>
      </c>
      <c r="D53" s="15">
        <v>888800.54287533602</v>
      </c>
      <c r="E53" s="18">
        <v>888893.38167576247</v>
      </c>
      <c r="F53" s="18">
        <v>888967.60169424221</v>
      </c>
      <c r="G53" s="18">
        <v>1239750.6052830431</v>
      </c>
      <c r="H53" s="18">
        <v>888645.75296744041</v>
      </c>
      <c r="I53" s="18">
        <v>902052.0483903829</v>
      </c>
      <c r="J53" s="16">
        <v>13406.29542294249</v>
      </c>
      <c r="K53">
        <f t="shared" si="0"/>
        <v>1.5083581496892571E-2</v>
      </c>
    </row>
    <row r="54" spans="1:11" x14ac:dyDescent="0.2">
      <c r="A54" s="13" t="s">
        <v>67</v>
      </c>
      <c r="B54" s="14">
        <v>3018916.2744412171</v>
      </c>
      <c r="C54" s="14">
        <v>3024185.4781414252</v>
      </c>
      <c r="D54" s="15">
        <v>3026107.1922154562</v>
      </c>
      <c r="E54" s="14">
        <v>3027263.0503724129</v>
      </c>
      <c r="F54" s="14">
        <v>3028183.140173201</v>
      </c>
      <c r="G54" s="14">
        <v>4541163.9824884003</v>
      </c>
      <c r="H54" s="14">
        <v>3018916.2744412171</v>
      </c>
      <c r="I54" s="14">
        <v>3028183.140173201</v>
      </c>
      <c r="J54" s="16">
        <v>9266.8657319848426</v>
      </c>
      <c r="K54">
        <f t="shared" si="0"/>
        <v>3.062305841585353E-3</v>
      </c>
    </row>
    <row r="55" spans="1:11" x14ac:dyDescent="0.2">
      <c r="A55" s="17" t="s">
        <v>58</v>
      </c>
      <c r="B55" s="18">
        <v>2377187.69780138</v>
      </c>
      <c r="C55" s="18">
        <v>2380277.3423200771</v>
      </c>
      <c r="D55" s="15">
        <v>2381389.2760043819</v>
      </c>
      <c r="E55" s="18">
        <v>2382058.3293704819</v>
      </c>
      <c r="F55" s="18">
        <v>2382590.7322369302</v>
      </c>
      <c r="G55" s="18">
        <v>3185134.0956326518</v>
      </c>
      <c r="H55" s="18">
        <v>2377187.69780138</v>
      </c>
      <c r="I55" s="18">
        <v>2382590.7322369302</v>
      </c>
      <c r="J55" s="16">
        <v>5403.0344355497509</v>
      </c>
      <c r="K55">
        <f t="shared" si="0"/>
        <v>2.2688581367155737E-3</v>
      </c>
    </row>
    <row r="56" spans="1:11" x14ac:dyDescent="0.2">
      <c r="A56" s="13" t="s">
        <v>35</v>
      </c>
      <c r="B56" s="14">
        <v>2301050.7805324071</v>
      </c>
      <c r="C56" s="14">
        <v>2303785.7324194349</v>
      </c>
      <c r="D56" s="15">
        <v>2304771.447689536</v>
      </c>
      <c r="E56" s="14">
        <v>2305363.964344332</v>
      </c>
      <c r="F56" s="14">
        <v>2305835.982320975</v>
      </c>
      <c r="G56" s="14">
        <v>2514662.1196475518</v>
      </c>
      <c r="H56" s="14">
        <v>2301050.7805324071</v>
      </c>
      <c r="I56" s="14">
        <v>2305835.982320975</v>
      </c>
      <c r="J56" s="16">
        <v>4785.2017885679379</v>
      </c>
      <c r="K56">
        <f t="shared" si="0"/>
        <v>2.0762153199029598E-3</v>
      </c>
    </row>
    <row r="57" spans="1:11" x14ac:dyDescent="0.2">
      <c r="A57" s="17" t="s">
        <v>38</v>
      </c>
      <c r="B57" s="18">
        <v>2316280.9455115488</v>
      </c>
      <c r="C57" s="18">
        <v>2318990.1758213048</v>
      </c>
      <c r="D57" s="15">
        <v>2319965.2282401738</v>
      </c>
      <c r="E57" s="18">
        <v>2320551.8605943462</v>
      </c>
      <c r="F57" s="18">
        <v>2321018.789077743</v>
      </c>
      <c r="G57" s="18">
        <v>2576935.2645820552</v>
      </c>
      <c r="H57" s="18">
        <v>2316280.9455115488</v>
      </c>
      <c r="I57" s="18">
        <v>2321018.789077743</v>
      </c>
      <c r="J57" s="16">
        <v>4737.8435661941767</v>
      </c>
      <c r="K57">
        <f t="shared" si="0"/>
        <v>2.0422045591554413E-3</v>
      </c>
    </row>
    <row r="58" spans="1:11" x14ac:dyDescent="0.2">
      <c r="A58" s="13" t="s">
        <v>42</v>
      </c>
      <c r="B58" s="14">
        <v>2159207.8263881742</v>
      </c>
      <c r="C58" s="14">
        <v>2161568.68742888</v>
      </c>
      <c r="D58" s="15">
        <v>2162418.4176465878</v>
      </c>
      <c r="E58" s="14">
        <v>2162929.5582525032</v>
      </c>
      <c r="F58" s="14">
        <v>2163336.5052152658</v>
      </c>
      <c r="G58" s="14">
        <v>2459068.327277455</v>
      </c>
      <c r="H58" s="14">
        <v>2159207.8263881742</v>
      </c>
      <c r="I58" s="14">
        <v>2163336.5052152658</v>
      </c>
      <c r="J58" s="16">
        <v>4128.6788270925172</v>
      </c>
      <c r="K58">
        <f t="shared" si="0"/>
        <v>1.9092876722655082E-3</v>
      </c>
    </row>
    <row r="59" spans="1:11" x14ac:dyDescent="0.2">
      <c r="A59" s="17" t="s">
        <v>49</v>
      </c>
      <c r="B59" s="18">
        <v>1016923.029947579</v>
      </c>
      <c r="C59" s="18">
        <v>1015223.980274361</v>
      </c>
      <c r="D59" s="15">
        <v>1015428.056251894</v>
      </c>
      <c r="E59" s="18">
        <v>1015550.5412865269</v>
      </c>
      <c r="F59" s="18">
        <v>1015648.298487368</v>
      </c>
      <c r="G59" s="18">
        <v>1415103.11397072</v>
      </c>
      <c r="H59" s="18">
        <v>1015223.980274361</v>
      </c>
      <c r="I59" s="18">
        <v>1016923.029947579</v>
      </c>
      <c r="J59" s="16">
        <v>1699.049673218396</v>
      </c>
      <c r="K59">
        <f t="shared" si="0"/>
        <v>1.673234910890544E-3</v>
      </c>
    </row>
    <row r="60" spans="1:11" x14ac:dyDescent="0.2">
      <c r="A60" s="13" t="s">
        <v>52</v>
      </c>
      <c r="B60" s="14">
        <v>1239715.416272145</v>
      </c>
      <c r="C60" s="14">
        <v>1240574.730516877</v>
      </c>
      <c r="D60" s="15">
        <v>1240884.1572353111</v>
      </c>
      <c r="E60" s="14">
        <v>1241070.1208589419</v>
      </c>
      <c r="F60" s="14">
        <v>1241218.281458477</v>
      </c>
      <c r="G60" s="14">
        <v>1729012.397913903</v>
      </c>
      <c r="H60" s="14">
        <v>1239715.416272145</v>
      </c>
      <c r="I60" s="14">
        <v>1241218.281458477</v>
      </c>
      <c r="J60" s="16">
        <v>1502.8651863317939</v>
      </c>
      <c r="K60">
        <f t="shared" si="0"/>
        <v>1.2111244853670921E-3</v>
      </c>
    </row>
    <row r="61" spans="1:11" x14ac:dyDescent="0.2">
      <c r="A61" s="17" t="s">
        <v>43</v>
      </c>
      <c r="B61" s="18">
        <v>1203125.320435439</v>
      </c>
      <c r="C61" s="18">
        <v>1203878.800657559</v>
      </c>
      <c r="D61" s="15">
        <v>1204150.132028881</v>
      </c>
      <c r="E61" s="18">
        <v>1204313.1531258069</v>
      </c>
      <c r="F61" s="18">
        <v>1204443.088712265</v>
      </c>
      <c r="G61" s="18">
        <v>1530647.8423955331</v>
      </c>
      <c r="H61" s="18">
        <v>1203125.320435439</v>
      </c>
      <c r="I61" s="18">
        <v>1204443.088712265</v>
      </c>
      <c r="J61" s="16">
        <v>1317.76827682578</v>
      </c>
      <c r="K61">
        <f t="shared" si="0"/>
        <v>1.0943554643019994E-3</v>
      </c>
    </row>
    <row r="62" spans="1:11" x14ac:dyDescent="0.2">
      <c r="A62" s="13" t="s">
        <v>39</v>
      </c>
      <c r="B62" s="14">
        <v>1179198.2431164859</v>
      </c>
      <c r="C62" s="14">
        <v>1179901.963977932</v>
      </c>
      <c r="D62" s="15">
        <v>1180155.621686263</v>
      </c>
      <c r="E62" s="14">
        <v>1180307.6109023481</v>
      </c>
      <c r="F62" s="14">
        <v>1180429.361259131</v>
      </c>
      <c r="G62" s="14">
        <v>1437827.1498612659</v>
      </c>
      <c r="H62" s="14">
        <v>1179198.2431164859</v>
      </c>
      <c r="I62" s="14">
        <v>1180429.361259131</v>
      </c>
      <c r="J62" s="16">
        <v>1231.1181426458061</v>
      </c>
      <c r="K62">
        <f t="shared" si="0"/>
        <v>1.0431828820056167E-3</v>
      </c>
    </row>
    <row r="63" spans="1:11" x14ac:dyDescent="0.2">
      <c r="A63" s="17" t="s">
        <v>27</v>
      </c>
      <c r="B63" s="18">
        <v>1009212.2292234231</v>
      </c>
      <c r="C63" s="18">
        <v>1009725.0843499301</v>
      </c>
      <c r="D63" s="15">
        <v>1009909.800546115</v>
      </c>
      <c r="E63" s="18">
        <v>1010020.703681952</v>
      </c>
      <c r="F63" s="18">
        <v>1010109.176937417</v>
      </c>
      <c r="G63" s="18">
        <v>1115429.2951829999</v>
      </c>
      <c r="H63" s="18">
        <v>1009212.2292234231</v>
      </c>
      <c r="I63" s="18">
        <v>1010109.176937417</v>
      </c>
      <c r="J63" s="16">
        <v>896.9477139939554</v>
      </c>
      <c r="K63">
        <f t="shared" si="0"/>
        <v>8.8814636070362455E-4</v>
      </c>
    </row>
    <row r="64" spans="1:11" x14ac:dyDescent="0.2">
      <c r="A64" s="13" t="s">
        <v>29</v>
      </c>
      <c r="B64" s="14">
        <v>942046.24786795885</v>
      </c>
      <c r="C64" s="14">
        <v>942500.46331951732</v>
      </c>
      <c r="D64" s="15">
        <v>942664.04371706781</v>
      </c>
      <c r="E64" s="14">
        <v>942762.28332815005</v>
      </c>
      <c r="F64" s="14">
        <v>942840.65696292452</v>
      </c>
      <c r="G64" s="14">
        <v>1068535.7711700629</v>
      </c>
      <c r="H64" s="14">
        <v>942046.24786795885</v>
      </c>
      <c r="I64" s="14">
        <v>942840.65696292452</v>
      </c>
      <c r="J64" s="16">
        <v>794.40909496566746</v>
      </c>
      <c r="K64">
        <f t="shared" si="0"/>
        <v>8.427276931378346E-4</v>
      </c>
    </row>
    <row r="65" spans="1:11" x14ac:dyDescent="0.2">
      <c r="A65" s="17" t="s">
        <v>40</v>
      </c>
      <c r="B65" s="18">
        <v>832892.85680938826</v>
      </c>
      <c r="C65" s="18">
        <v>833275.03280562547</v>
      </c>
      <c r="D65" s="15">
        <v>833412.62326212274</v>
      </c>
      <c r="E65" s="18">
        <v>833495.32716045564</v>
      </c>
      <c r="F65" s="18">
        <v>833561.22288930102</v>
      </c>
      <c r="G65" s="18">
        <v>1097333.889005102</v>
      </c>
      <c r="H65" s="18">
        <v>832892.85680938826</v>
      </c>
      <c r="I65" s="18">
        <v>833561.22288930102</v>
      </c>
      <c r="J65" s="16">
        <v>668.36607991275378</v>
      </c>
      <c r="K65">
        <f t="shared" si="0"/>
        <v>8.0196299078918684E-4</v>
      </c>
    </row>
    <row r="66" spans="1:11" x14ac:dyDescent="0.2">
      <c r="A66" s="13" t="s">
        <v>34</v>
      </c>
      <c r="B66" s="14">
        <v>596052.88913343847</v>
      </c>
      <c r="C66" s="14">
        <v>596244.18379595876</v>
      </c>
      <c r="D66" s="15">
        <v>596313.12094477518</v>
      </c>
      <c r="E66" s="14">
        <v>596354.45875969855</v>
      </c>
      <c r="F66" s="14">
        <v>596387.4822345064</v>
      </c>
      <c r="G66" s="14">
        <v>783346.44529351988</v>
      </c>
      <c r="H66" s="14">
        <v>596052.88913343847</v>
      </c>
      <c r="I66" s="14">
        <v>596387.4822345064</v>
      </c>
      <c r="J66" s="16">
        <v>334.59310106793419</v>
      </c>
      <c r="K66">
        <f t="shared" si="0"/>
        <v>5.6110303348317736E-4</v>
      </c>
    </row>
    <row r="67" spans="1:11" x14ac:dyDescent="0.2">
      <c r="A67" s="17" t="s">
        <v>36</v>
      </c>
      <c r="B67" s="18">
        <v>592435.09306811332</v>
      </c>
      <c r="C67" s="18">
        <v>592623.93552722968</v>
      </c>
      <c r="D67" s="15">
        <v>592692.77034401114</v>
      </c>
      <c r="E67" s="18">
        <v>592733.84176717757</v>
      </c>
      <c r="F67" s="18">
        <v>592766.88625138928</v>
      </c>
      <c r="G67" s="18">
        <v>817221.04068437661</v>
      </c>
      <c r="H67" s="18">
        <v>592435.09306811332</v>
      </c>
      <c r="I67" s="18">
        <v>592766.88625138928</v>
      </c>
      <c r="J67" s="16">
        <v>331.79318327596411</v>
      </c>
      <c r="K67">
        <f t="shared" ref="K67:K68" si="1">J67/D67</f>
        <v>5.5980636153767234E-4</v>
      </c>
    </row>
    <row r="68" spans="1:11" x14ac:dyDescent="0.2">
      <c r="A68" s="13" t="s">
        <v>9</v>
      </c>
      <c r="B68" s="14">
        <v>217125784.86779779</v>
      </c>
      <c r="C68" s="14">
        <v>217125789.09105271</v>
      </c>
      <c r="D68" s="15">
        <v>217125783.90820751</v>
      </c>
      <c r="E68" s="14">
        <v>217125791.50026581</v>
      </c>
      <c r="F68" s="14">
        <v>217125746.87155631</v>
      </c>
      <c r="G68" s="14">
        <v>173361501.3378664</v>
      </c>
      <c r="H68" s="14">
        <v>217125746.87155631</v>
      </c>
      <c r="I68" s="14">
        <v>217125791.50026581</v>
      </c>
      <c r="J68" s="16">
        <v>44.628709584474556</v>
      </c>
      <c r="K68">
        <f t="shared" si="1"/>
        <v>2.0554311321838163E-7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Allocation Table</vt:lpstr>
      <vt:lpstr>Gainers &amp; Losers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2026-03-26T23:56:45Z</dcterms:created>
  <dcterms:modified xsi:type="dcterms:W3CDTF">2026-03-27T01:28:29Z</dcterms:modified>
</cp:coreProperties>
</file>
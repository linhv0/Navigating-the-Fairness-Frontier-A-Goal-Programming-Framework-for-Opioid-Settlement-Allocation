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inhvo/Desktop/OMIS 4000/Final Project/"/>
    </mc:Choice>
  </mc:AlternateContent>
  <xr:revisionPtr revIDLastSave="0" documentId="13_ncr:1_{7912B06A-FE3D-D142-B55E-9A66E52CE86D}" xr6:coauthVersionLast="47" xr6:coauthVersionMax="47" xr10:uidLastSave="{00000000-0000-0000-0000-000000000000}"/>
  <bookViews>
    <workbookView xWindow="0" yWindow="500" windowWidth="30940" windowHeight="16780" xr2:uid="{B274B253-99E1-41D4-B457-8160A7DC1F73}"/>
  </bookViews>
  <sheets>
    <sheet name="Normalized" sheetId="1" r:id="rId1"/>
    <sheet name="Median Income" sheetId="3" r:id="rId2"/>
    <sheet name="Legend" sheetId="2" r:id="rId3"/>
  </sheets>
  <definedNames>
    <definedName name="_xlnm._FilterDatabase" localSheetId="0" hidden="1">Normalized!$A$1:$M$68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H2" i="1"/>
  <c r="G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2" i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3" i="3"/>
  <c r="C2" i="3"/>
</calcChain>
</file>

<file path=xl/sharedStrings.xml><?xml version="1.0" encoding="utf-8"?>
<sst xmlns="http://schemas.openxmlformats.org/spreadsheetml/2006/main" count="170" uniqueCount="95">
  <si>
    <t>County</t>
  </si>
  <si>
    <t xml:space="preserve">all drug overdose share </t>
  </si>
  <si>
    <t>hospitalization share</t>
  </si>
  <si>
    <t>nalxone share</t>
  </si>
  <si>
    <t xml:space="preserve">MME adjusted share </t>
  </si>
  <si>
    <t xml:space="preserve">population share </t>
  </si>
  <si>
    <t>a_min_i</t>
  </si>
  <si>
    <t>a_max_i</t>
  </si>
  <si>
    <t>FIPS</t>
  </si>
  <si>
    <t>RUCC_2023</t>
  </si>
  <si>
    <t>rural_urban_binary</t>
  </si>
  <si>
    <t>health_factors_rank</t>
  </si>
  <si>
    <t>health_rank_binary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</si>
  <si>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</si>
  <si>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</si>
  <si>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</si>
  <si>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</si>
  <si>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</si>
  <si>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</si>
  <si>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</si>
  <si>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</si>
  <si>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</si>
  <si>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</si>
  <si>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</si>
  <si>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</si>
  <si>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</si>
  <si>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</si>
  <si>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</si>
  <si>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</si>
  <si>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</si>
  <si>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</si>
  <si>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</si>
  <si>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</si>
  <si>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</si>
  <si>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</si>
  <si>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</si>
  <si>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</si>
  <si>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</si>
  <si>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</si>
  <si>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</si>
  <si>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</si>
  <si>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</si>
  <si>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</si>
  <si>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</si>
  <si>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</si>
  <si>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</si>
  <si>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</si>
  <si>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</si>
  <si>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</si>
  <si>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</si>
  <si>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</si>
  <si>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</si>
  <si>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</si>
  <si>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</si>
  <si>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</si>
  <si>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</si>
  <si>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</si>
  <si>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</si>
  <si>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</si>
  <si>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</si>
  <si>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</si>
  <si>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</si>
  <si>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</si>
  <si>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</si>
  <si>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</si>
  <si>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</si>
  <si>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</si>
  <si>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</si>
  <si>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</si>
  <si>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</si>
  <si>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</si>
  <si>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</si>
  <si>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</si>
  <si>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</si>
  <si>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</si>
  <si>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</si>
  <si>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</si>
  <si>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</si>
  <si>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</si>
  <si>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</si>
  <si>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Column Reference</t>
  </si>
  <si>
    <t>Column</t>
  </si>
  <si>
    <t>Values</t>
  </si>
  <si>
    <t>Meaning</t>
  </si>
  <si>
    <t>0</t>
  </si>
  <si>
    <t>Urban — RUCC codes 1–3 (metro areas)</t>
  </si>
  <si>
    <t>1</t>
  </si>
  <si>
    <t>Rural — RUCC codes 4–9 (non-metro areas)</t>
  </si>
  <si>
    <t>Top half — Health Factors rank 1–33 (better health)</t>
  </si>
  <si>
    <t>Bottom half — Health Factors rank 34–67 (worse health)</t>
  </si>
  <si>
    <t>Source: County Health Rankings &amp; Roadmaps 2023, University of Wisconsin Population Health Institute</t>
  </si>
  <si>
    <t>Value (Dollars)</t>
  </si>
  <si>
    <t>Pennsylvania</t>
  </si>
  <si>
    <t>Low Income</t>
  </si>
  <si>
    <t>income_rank_binary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</si>
</sst>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sz val="11"/>
      <color rgb="FF000000"/>
      <name val="Arial"/>
      <family val="2"/>
    </font>
    <font>
      <i/>
      <sz val="9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5" fillId="0" borderId="0" xfId="0" applyFont="1"/>
    <xf numFmtId="0" fontId="7" fillId="0" borderId="0" xfId="0" applyFont="1"/>
    <xf numFmtId="0" fontId="6" fillId="0" borderId="0" xfId="0" applyFont="1"/>
    <xf numFmtId="3" fontId="0" fillId="0" borderId="0" xfId="0" applyNumberFormat="1"/>
    <xf numFmtId="3" fontId="6" fillId="0" borderId="0" xfId="0" applyNumberFormat="1" applyFont="1"/>
    <xf numFmtId="0" fontId="8" fillId="0" borderId="0" xfId="0" applyFont="1"/>
    <xf numFmtId="0" fontId="9" fillId="0" borderId="0" xfId="0" applyFont="1"/>
    <xf numFmtId="3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5264-96C1-4C90-9B95-441F045FF748}">
  <dimension ref="A1:N68"/>
  <sheetViews>
    <sheetView tabSelected="1" workbookViewId="0">
      <pane ySplit="1" topLeftCell="A2" activePane="bottomLeft" state="frozen"/>
      <selection pane="bottomLeft" activeCell="G8" sqref="G8"/>
    </sheetView>
  </sheetViews>
  <sheetFormatPr baseColWidth="10" defaultColWidth="8.83203125" defaultRowHeight="15" x14ac:dyDescent="0.2"/>
  <cols>
    <col min="1" max="1" width="16" customWidth="1"/>
    <col min="2" max="2" width="28" customWidth="1"/>
    <col min="3" max="3" width="25" customWidth="1"/>
    <col min="4" max="4" width="24" customWidth="1"/>
    <col min="5" max="5" width="23" customWidth="1"/>
    <col min="6" max="7" width="24" customWidth="1"/>
    <col min="8" max="8" width="23" customWidth="1"/>
    <col min="9" max="9" width="7" customWidth="1"/>
    <col min="10" max="10" width="13.5" customWidth="1"/>
    <col min="11" max="11" width="20" customWidth="1"/>
    <col min="12" max="12" width="21" customWidth="1"/>
    <col min="13" max="13" width="20" customWidth="1"/>
    <col min="14" max="14" width="19.83203125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94</v>
      </c>
    </row>
    <row r="2" spans="1:14" x14ac:dyDescent="0.2">
      <c r="A2" s="2" t="s">
        <v>13</v>
      </c>
      <c r="B2" s="3">
        <v>3.5330887348824572E-3</v>
      </c>
      <c r="C2" s="3">
        <v>4.6668080850934884E-3</v>
      </c>
      <c r="D2" s="3">
        <v>3.0093289196509178E-3</v>
      </c>
      <c r="E2" s="3">
        <v>2.4601906295097361E-3</v>
      </c>
      <c r="F2" s="3">
        <v>8.010769626463762E-3</v>
      </c>
      <c r="G2" s="3">
        <f>MIN(B2:E2)</f>
        <v>2.4601906295097361E-3</v>
      </c>
      <c r="H2" s="3">
        <f>MAX(B2:E2)</f>
        <v>4.6668080850934884E-3</v>
      </c>
      <c r="I2" s="3">
        <v>42001</v>
      </c>
      <c r="J2" s="3">
        <v>3</v>
      </c>
      <c r="K2" s="3">
        <v>0</v>
      </c>
      <c r="L2" s="3">
        <v>9</v>
      </c>
      <c r="M2" s="3">
        <v>0</v>
      </c>
      <c r="N2" s="3">
        <f>VLOOKUP(Normalized!A2,'Median Income'!$A$1:$D$69,4,FALSE)</f>
        <v>0</v>
      </c>
    </row>
    <row r="3" spans="1:14" x14ac:dyDescent="0.2">
      <c r="A3" s="2" t="s">
        <v>14</v>
      </c>
      <c r="B3" s="3">
        <v>0.12687412238981749</v>
      </c>
      <c r="C3" s="3">
        <v>8.500257583563138E-2</v>
      </c>
      <c r="D3" s="3">
        <v>0.13501855752833791</v>
      </c>
      <c r="E3" s="3">
        <v>0.102435012016517</v>
      </c>
      <c r="F3" s="3">
        <v>9.5511952049520274E-2</v>
      </c>
      <c r="G3" s="3">
        <f t="shared" ref="G3:G66" si="0">MIN(B3:E3)</f>
        <v>8.500257583563138E-2</v>
      </c>
      <c r="H3" s="3">
        <f t="shared" ref="H3:H66" si="1">MAX(B3:E3)</f>
        <v>0.13501855752833791</v>
      </c>
      <c r="I3" s="3">
        <v>42003</v>
      </c>
      <c r="J3" s="3">
        <v>1</v>
      </c>
      <c r="K3" s="3">
        <v>0</v>
      </c>
      <c r="L3" s="3">
        <v>13</v>
      </c>
      <c r="M3" s="3">
        <v>0</v>
      </c>
      <c r="N3" s="3">
        <f>VLOOKUP(Normalized!A3,'Median Income'!$A$1:$D$69,4,FALSE)</f>
        <v>0</v>
      </c>
    </row>
    <row r="4" spans="1:14" x14ac:dyDescent="0.2">
      <c r="A4" s="2" t="s">
        <v>15</v>
      </c>
      <c r="B4" s="3">
        <v>7.2473615074511938E-3</v>
      </c>
      <c r="C4" s="3">
        <v>2.697051425800782E-3</v>
      </c>
      <c r="D4" s="3">
        <v>7.0719229611796572E-3</v>
      </c>
      <c r="E4" s="3">
        <v>6.0511489431665693E-3</v>
      </c>
      <c r="F4" s="3">
        <v>5.1492667413515041E-3</v>
      </c>
      <c r="G4" s="3">
        <f t="shared" si="0"/>
        <v>2.697051425800782E-3</v>
      </c>
      <c r="H4" s="3">
        <f t="shared" si="1"/>
        <v>7.2473615074511938E-3</v>
      </c>
      <c r="I4" s="3">
        <v>42005</v>
      </c>
      <c r="J4" s="3">
        <v>1</v>
      </c>
      <c r="K4" s="3">
        <v>0</v>
      </c>
      <c r="L4" s="3">
        <v>58</v>
      </c>
      <c r="M4" s="3">
        <v>1</v>
      </c>
      <c r="N4" s="3">
        <f>VLOOKUP(Normalized!A4,'Median Income'!$A$1:$D$69,4,FALSE)</f>
        <v>1</v>
      </c>
    </row>
    <row r="5" spans="1:14" x14ac:dyDescent="0.2">
      <c r="A5" s="2" t="s">
        <v>16</v>
      </c>
      <c r="B5" s="3">
        <v>1.5944195316392629E-2</v>
      </c>
      <c r="C5" s="3">
        <v>7.6972029455438041E-3</v>
      </c>
      <c r="D5" s="3">
        <v>6.7709900692145648E-3</v>
      </c>
      <c r="E5" s="3">
        <v>1.7351641368957688E-2</v>
      </c>
      <c r="F5" s="3">
        <v>1.296428183336942E-2</v>
      </c>
      <c r="G5" s="3">
        <f t="shared" si="0"/>
        <v>6.7709900692145648E-3</v>
      </c>
      <c r="H5" s="3">
        <f t="shared" si="1"/>
        <v>1.7351641368957688E-2</v>
      </c>
      <c r="I5" s="3">
        <v>42007</v>
      </c>
      <c r="J5" s="3">
        <v>1</v>
      </c>
      <c r="K5" s="3">
        <v>0</v>
      </c>
      <c r="L5" s="3">
        <v>30</v>
      </c>
      <c r="M5" s="3">
        <v>0</v>
      </c>
      <c r="N5" s="3">
        <f>VLOOKUP(Normalized!A5,'Median Income'!$A$1:$D$69,4,FALSE)</f>
        <v>0</v>
      </c>
    </row>
    <row r="6" spans="1:14" x14ac:dyDescent="0.2">
      <c r="A6" s="4" t="s">
        <v>17</v>
      </c>
      <c r="B6" s="5">
        <v>2.581872537029488E-3</v>
      </c>
      <c r="C6" s="5">
        <v>1.4545895330161521E-3</v>
      </c>
      <c r="D6" s="5">
        <v>1.354198013842913E-3</v>
      </c>
      <c r="E6" s="5">
        <v>1.6257794609328691E-3</v>
      </c>
      <c r="F6" s="5">
        <v>3.7788286467686041E-3</v>
      </c>
      <c r="G6" s="5">
        <f t="shared" si="0"/>
        <v>1.354198013842913E-3</v>
      </c>
      <c r="H6" s="5">
        <f t="shared" si="1"/>
        <v>2.581872537029488E-3</v>
      </c>
      <c r="I6" s="5">
        <v>42009</v>
      </c>
      <c r="J6" s="5">
        <v>8</v>
      </c>
      <c r="K6" s="5">
        <v>1</v>
      </c>
      <c r="L6" s="5">
        <v>34</v>
      </c>
      <c r="M6" s="5">
        <v>1</v>
      </c>
      <c r="N6" s="5">
        <f>VLOOKUP(Normalized!A6,'Median Income'!$A$1:$D$69,4,FALSE)</f>
        <v>1</v>
      </c>
    </row>
    <row r="7" spans="1:14" x14ac:dyDescent="0.2">
      <c r="A7" s="2" t="s">
        <v>18</v>
      </c>
      <c r="B7" s="3">
        <v>2.2195044616569279E-2</v>
      </c>
      <c r="C7" s="3">
        <v>2.4000727294766509E-2</v>
      </c>
      <c r="D7" s="3">
        <v>1.5648510382184771E-2</v>
      </c>
      <c r="E7" s="3">
        <v>1.050434417418677E-2</v>
      </c>
      <c r="F7" s="3">
        <v>3.267982797992109E-2</v>
      </c>
      <c r="G7" s="3">
        <f t="shared" si="0"/>
        <v>1.050434417418677E-2</v>
      </c>
      <c r="H7" s="3">
        <f t="shared" si="1"/>
        <v>2.4000727294766509E-2</v>
      </c>
      <c r="I7" s="3">
        <v>42011</v>
      </c>
      <c r="J7" s="3">
        <v>2</v>
      </c>
      <c r="K7" s="3">
        <v>0</v>
      </c>
      <c r="L7" s="3">
        <v>47</v>
      </c>
      <c r="M7" s="3">
        <v>1</v>
      </c>
      <c r="N7" s="3">
        <f>VLOOKUP(Normalized!A7,'Median Income'!$A$1:$D$69,4,FALSE)</f>
        <v>0</v>
      </c>
    </row>
    <row r="8" spans="1:14" x14ac:dyDescent="0.2">
      <c r="A8" s="2" t="s">
        <v>19</v>
      </c>
      <c r="B8" s="3">
        <v>7.8815056393531733E-3</v>
      </c>
      <c r="C8" s="3">
        <v>6.3638292069456651E-3</v>
      </c>
      <c r="D8" s="3">
        <v>9.0279867589527531E-3</v>
      </c>
      <c r="E8" s="3">
        <v>9.2193433344785834E-3</v>
      </c>
      <c r="F8" s="3">
        <v>9.6280116608411966E-3</v>
      </c>
      <c r="G8" s="3">
        <f t="shared" si="0"/>
        <v>6.3638292069456651E-3</v>
      </c>
      <c r="H8" s="3">
        <f t="shared" si="1"/>
        <v>9.2193433344785834E-3</v>
      </c>
      <c r="I8" s="3">
        <v>42013</v>
      </c>
      <c r="J8" s="3">
        <v>3</v>
      </c>
      <c r="K8" s="3">
        <v>0</v>
      </c>
      <c r="L8" s="3">
        <v>26</v>
      </c>
      <c r="M8" s="3">
        <v>0</v>
      </c>
      <c r="N8" s="3">
        <f>VLOOKUP(Normalized!A8,'Median Income'!$A$1:$D$69,4,FALSE)</f>
        <v>1</v>
      </c>
    </row>
    <row r="9" spans="1:14" x14ac:dyDescent="0.2">
      <c r="A9" s="4" t="s">
        <v>20</v>
      </c>
      <c r="B9" s="5">
        <v>3.0801286406667572E-3</v>
      </c>
      <c r="C9" s="5">
        <v>1.515197430225158E-3</v>
      </c>
      <c r="D9" s="5">
        <v>1.2538870498545491E-3</v>
      </c>
      <c r="E9" s="5">
        <v>2.318192486016011E-3</v>
      </c>
      <c r="F9" s="5">
        <v>4.7658880524847303E-3</v>
      </c>
      <c r="G9" s="5">
        <f t="shared" si="0"/>
        <v>1.2538870498545491E-3</v>
      </c>
      <c r="H9" s="5">
        <f t="shared" si="1"/>
        <v>3.0801286406667572E-3</v>
      </c>
      <c r="I9" s="5">
        <v>42015</v>
      </c>
      <c r="J9" s="5">
        <v>6</v>
      </c>
      <c r="K9" s="5">
        <v>1</v>
      </c>
      <c r="L9" s="5">
        <v>37</v>
      </c>
      <c r="M9" s="5">
        <v>1</v>
      </c>
      <c r="N9" s="5">
        <f>VLOOKUP(Normalized!A9,'Median Income'!$A$1:$D$69,4,FALSE)</f>
        <v>1</v>
      </c>
    </row>
    <row r="10" spans="1:14" x14ac:dyDescent="0.2">
      <c r="A10" s="2" t="s">
        <v>21</v>
      </c>
      <c r="B10" s="3">
        <v>4.9689722335462247E-2</v>
      </c>
      <c r="C10" s="3">
        <v>6.5001969756659297E-2</v>
      </c>
      <c r="D10" s="3">
        <v>5.1609990972013242E-2</v>
      </c>
      <c r="E10" s="3">
        <v>7.4137826447434579E-2</v>
      </c>
      <c r="F10" s="3">
        <v>4.9001644056653117E-2</v>
      </c>
      <c r="G10" s="3">
        <f t="shared" si="0"/>
        <v>4.9689722335462247E-2</v>
      </c>
      <c r="H10" s="3">
        <f t="shared" si="1"/>
        <v>7.4137826447434579E-2</v>
      </c>
      <c r="I10" s="3">
        <v>42017</v>
      </c>
      <c r="J10" s="3">
        <v>1</v>
      </c>
      <c r="K10" s="3">
        <v>0</v>
      </c>
      <c r="L10" s="3">
        <v>3</v>
      </c>
      <c r="M10" s="3">
        <v>0</v>
      </c>
      <c r="N10" s="3">
        <f>VLOOKUP(Normalized!A10,'Median Income'!$A$1:$D$69,4,FALSE)</f>
        <v>0</v>
      </c>
    </row>
    <row r="11" spans="1:14" x14ac:dyDescent="0.2">
      <c r="A11" s="2" t="s">
        <v>22</v>
      </c>
      <c r="B11" s="3">
        <v>1.558182724102007E-2</v>
      </c>
      <c r="C11" s="3">
        <v>1.0909421497621139E-2</v>
      </c>
      <c r="D11" s="3">
        <v>1.64008426120975E-2</v>
      </c>
      <c r="E11" s="3">
        <v>9.9946851312002379E-3</v>
      </c>
      <c r="F11" s="3">
        <v>1.461115284879917E-2</v>
      </c>
      <c r="G11" s="3">
        <f t="shared" si="0"/>
        <v>9.9946851312002379E-3</v>
      </c>
      <c r="H11" s="3">
        <f t="shared" si="1"/>
        <v>1.64008426120975E-2</v>
      </c>
      <c r="I11" s="3">
        <v>42019</v>
      </c>
      <c r="J11" s="3">
        <v>1</v>
      </c>
      <c r="K11" s="3">
        <v>0</v>
      </c>
      <c r="L11" s="3">
        <v>6</v>
      </c>
      <c r="M11" s="3">
        <v>0</v>
      </c>
      <c r="N11" s="3">
        <f>VLOOKUP(Normalized!A11,'Median Income'!$A$1:$D$69,4,FALSE)</f>
        <v>0</v>
      </c>
    </row>
    <row r="12" spans="1:14" x14ac:dyDescent="0.2">
      <c r="A12" s="2" t="s">
        <v>23</v>
      </c>
      <c r="B12" s="3">
        <v>1.6170675363500479E-2</v>
      </c>
      <c r="C12" s="3">
        <v>6.060789720900633E-3</v>
      </c>
      <c r="D12" s="3">
        <v>1.078342862874912E-2</v>
      </c>
      <c r="E12" s="3">
        <v>3.016924182194906E-2</v>
      </c>
      <c r="F12" s="3">
        <v>1.0398208814739129E-2</v>
      </c>
      <c r="G12" s="3">
        <f t="shared" si="0"/>
        <v>6.060789720900633E-3</v>
      </c>
      <c r="H12" s="3">
        <f t="shared" si="1"/>
        <v>3.016924182194906E-2</v>
      </c>
      <c r="I12" s="3">
        <v>42021</v>
      </c>
      <c r="J12" s="3">
        <v>3</v>
      </c>
      <c r="K12" s="3">
        <v>0</v>
      </c>
      <c r="L12" s="3">
        <v>41</v>
      </c>
      <c r="M12" s="3">
        <v>1</v>
      </c>
      <c r="N12" s="3">
        <f>VLOOKUP(Normalized!A12,'Median Income'!$A$1:$D$69,4,FALSE)</f>
        <v>1</v>
      </c>
    </row>
    <row r="13" spans="1:14" x14ac:dyDescent="0.2">
      <c r="A13" s="4" t="s">
        <v>24</v>
      </c>
      <c r="B13" s="5">
        <v>4.0766408479412958E-4</v>
      </c>
      <c r="C13" s="5">
        <v>1.212157944180127E-3</v>
      </c>
      <c r="D13" s="5">
        <v>3.0093289196509181E-4</v>
      </c>
      <c r="E13" s="5">
        <v>1.262502217349643E-3</v>
      </c>
      <c r="F13" s="5">
        <v>3.6047290668121798E-4</v>
      </c>
      <c r="G13" s="5">
        <f t="shared" si="0"/>
        <v>3.0093289196509181E-4</v>
      </c>
      <c r="H13" s="5">
        <f t="shared" si="1"/>
        <v>1.262502217349643E-3</v>
      </c>
      <c r="I13" s="5">
        <v>42023</v>
      </c>
      <c r="J13" s="5">
        <v>9</v>
      </c>
      <c r="K13" s="5">
        <v>1</v>
      </c>
      <c r="L13" s="5">
        <v>61</v>
      </c>
      <c r="M13" s="5">
        <v>1</v>
      </c>
      <c r="N13" s="5">
        <f>VLOOKUP(Normalized!A13,'Median Income'!$A$1:$D$69,4,FALSE)</f>
        <v>1</v>
      </c>
    </row>
    <row r="14" spans="1:14" x14ac:dyDescent="0.2">
      <c r="A14" s="2" t="s">
        <v>25</v>
      </c>
      <c r="B14" s="3">
        <v>5.7978892059609554E-3</v>
      </c>
      <c r="C14" s="3">
        <v>5.6365344404375886E-3</v>
      </c>
      <c r="D14" s="3">
        <v>9.7803189888654822E-3</v>
      </c>
      <c r="E14" s="3">
        <v>5.1748982295748589E-3</v>
      </c>
      <c r="F14" s="3">
        <v>4.9944768139542342E-3</v>
      </c>
      <c r="G14" s="3">
        <f t="shared" si="0"/>
        <v>5.1748982295748589E-3</v>
      </c>
      <c r="H14" s="3">
        <f t="shared" si="1"/>
        <v>9.7803189888654822E-3</v>
      </c>
      <c r="I14" s="3">
        <v>42025</v>
      </c>
      <c r="J14" s="3">
        <v>2</v>
      </c>
      <c r="K14" s="3">
        <v>0</v>
      </c>
      <c r="L14" s="3">
        <v>56</v>
      </c>
      <c r="M14" s="3">
        <v>1</v>
      </c>
      <c r="N14" s="3">
        <f>VLOOKUP(Normalized!A14,'Median Income'!$A$1:$D$69,4,FALSE)</f>
        <v>0</v>
      </c>
    </row>
    <row r="15" spans="1:14" x14ac:dyDescent="0.2">
      <c r="A15" s="2" t="s">
        <v>26</v>
      </c>
      <c r="B15" s="3">
        <v>3.2613126783530371E-3</v>
      </c>
      <c r="C15" s="3">
        <v>2.9697869632413099E-3</v>
      </c>
      <c r="D15" s="3">
        <v>1.805597351790551E-3</v>
      </c>
      <c r="E15" s="3">
        <v>1.200074880187166E-3</v>
      </c>
      <c r="F15" s="3">
        <v>1.266150335417264E-2</v>
      </c>
      <c r="G15" s="3">
        <f t="shared" si="0"/>
        <v>1.200074880187166E-3</v>
      </c>
      <c r="H15" s="3">
        <f t="shared" si="1"/>
        <v>3.2613126783530371E-3</v>
      </c>
      <c r="I15" s="3">
        <v>42027</v>
      </c>
      <c r="J15" s="3">
        <v>3</v>
      </c>
      <c r="K15" s="3">
        <v>0</v>
      </c>
      <c r="L15" s="3">
        <v>5</v>
      </c>
      <c r="M15" s="3">
        <v>0</v>
      </c>
      <c r="N15" s="3">
        <f>VLOOKUP(Normalized!A15,'Median Income'!$A$1:$D$69,4,FALSE)</f>
        <v>0</v>
      </c>
    </row>
    <row r="16" spans="1:14" x14ac:dyDescent="0.2">
      <c r="A16" s="2" t="s">
        <v>27</v>
      </c>
      <c r="B16" s="3">
        <v>2.93971101145989E-2</v>
      </c>
      <c r="C16" s="3">
        <v>2.6273523440104241E-2</v>
      </c>
      <c r="D16" s="3">
        <v>1.163607182265021E-2</v>
      </c>
      <c r="E16" s="3">
        <v>1.477176466230579E-2</v>
      </c>
      <c r="F16" s="3">
        <v>4.0617502362891703E-2</v>
      </c>
      <c r="G16" s="3">
        <f t="shared" si="0"/>
        <v>1.163607182265021E-2</v>
      </c>
      <c r="H16" s="3">
        <f t="shared" si="1"/>
        <v>2.93971101145989E-2</v>
      </c>
      <c r="I16" s="3">
        <v>42029</v>
      </c>
      <c r="J16" s="3">
        <v>1</v>
      </c>
      <c r="K16" s="3">
        <v>0</v>
      </c>
      <c r="L16" s="3">
        <v>2</v>
      </c>
      <c r="M16" s="3">
        <v>0</v>
      </c>
      <c r="N16" s="3">
        <f>VLOOKUP(Normalized!A16,'Median Income'!$A$1:$D$69,4,FALSE)</f>
        <v>0</v>
      </c>
    </row>
    <row r="17" spans="1:14" x14ac:dyDescent="0.2">
      <c r="A17" s="4" t="s">
        <v>28</v>
      </c>
      <c r="B17" s="5">
        <v>1.675952348598088E-3</v>
      </c>
      <c r="C17" s="5">
        <v>1.3939816358071459E-3</v>
      </c>
      <c r="D17" s="5">
        <v>1.805597351790551E-3</v>
      </c>
      <c r="E17" s="5">
        <v>7.738426770559423E-4</v>
      </c>
      <c r="F17" s="5">
        <v>3.0266121410026789E-3</v>
      </c>
      <c r="G17" s="5">
        <f t="shared" si="0"/>
        <v>7.738426770559423E-4</v>
      </c>
      <c r="H17" s="5">
        <f t="shared" si="1"/>
        <v>1.805597351790551E-3</v>
      </c>
      <c r="I17" s="5">
        <v>42031</v>
      </c>
      <c r="J17" s="5">
        <v>6</v>
      </c>
      <c r="K17" s="5">
        <v>1</v>
      </c>
      <c r="L17" s="5">
        <v>45</v>
      </c>
      <c r="M17" s="5">
        <v>1</v>
      </c>
      <c r="N17" s="5">
        <f>VLOOKUP(Normalized!A17,'Median Income'!$A$1:$D$69,4,FALSE)</f>
        <v>1</v>
      </c>
    </row>
    <row r="18" spans="1:14" x14ac:dyDescent="0.2">
      <c r="A18" s="4" t="s">
        <v>29</v>
      </c>
      <c r="B18" s="5">
        <v>3.442496716039317E-3</v>
      </c>
      <c r="C18" s="5">
        <v>4.1213370102124308E-3</v>
      </c>
      <c r="D18" s="5">
        <v>9.5295415788945737E-4</v>
      </c>
      <c r="E18" s="5">
        <v>2.981455630907663E-3</v>
      </c>
      <c r="F18" s="5">
        <v>6.2469462214449706E-3</v>
      </c>
      <c r="G18" s="5">
        <f t="shared" si="0"/>
        <v>9.5295415788945737E-4</v>
      </c>
      <c r="H18" s="5">
        <f t="shared" si="1"/>
        <v>4.1213370102124308E-3</v>
      </c>
      <c r="I18" s="5">
        <v>42033</v>
      </c>
      <c r="J18" s="5">
        <v>4</v>
      </c>
      <c r="K18" s="5">
        <v>1</v>
      </c>
      <c r="L18" s="5">
        <v>55</v>
      </c>
      <c r="M18" s="5">
        <v>1</v>
      </c>
      <c r="N18" s="5">
        <f>VLOOKUP(Normalized!A18,'Median Income'!$A$1:$D$69,4,FALSE)</f>
        <v>1</v>
      </c>
    </row>
    <row r="19" spans="1:14" x14ac:dyDescent="0.2">
      <c r="A19" s="4" t="s">
        <v>30</v>
      </c>
      <c r="B19" s="5">
        <v>1.2682882638039589E-3</v>
      </c>
      <c r="C19" s="5">
        <v>1.3333737385981389E-3</v>
      </c>
      <c r="D19" s="5">
        <v>6.0186578393018361E-4</v>
      </c>
      <c r="E19" s="5">
        <v>7.5746596116896552E-4</v>
      </c>
      <c r="F19" s="5">
        <v>3.042247487204424E-3</v>
      </c>
      <c r="G19" s="5">
        <f t="shared" si="0"/>
        <v>6.0186578393018361E-4</v>
      </c>
      <c r="H19" s="5">
        <f t="shared" si="1"/>
        <v>1.3333737385981389E-3</v>
      </c>
      <c r="I19" s="5">
        <v>42035</v>
      </c>
      <c r="J19" s="5">
        <v>6</v>
      </c>
      <c r="K19" s="5">
        <v>1</v>
      </c>
      <c r="L19" s="5">
        <v>44</v>
      </c>
      <c r="M19" s="5">
        <v>1</v>
      </c>
      <c r="N19" s="5">
        <f>VLOOKUP(Normalized!A19,'Median Income'!$A$1:$D$69,4,FALSE)</f>
        <v>1</v>
      </c>
    </row>
    <row r="20" spans="1:14" x14ac:dyDescent="0.2">
      <c r="A20" s="4" t="s">
        <v>31</v>
      </c>
      <c r="B20" s="5">
        <v>3.6236807537255969E-3</v>
      </c>
      <c r="C20" s="5">
        <v>2.606139579987273E-3</v>
      </c>
      <c r="D20" s="5">
        <v>4.2130604875112851E-3</v>
      </c>
      <c r="E20" s="5">
        <v>2.3491148421227129E-3</v>
      </c>
      <c r="F20" s="5">
        <v>5.1373838782381781E-3</v>
      </c>
      <c r="G20" s="5">
        <f t="shared" si="0"/>
        <v>2.3491148421227129E-3</v>
      </c>
      <c r="H20" s="5">
        <f t="shared" si="1"/>
        <v>4.2130604875112851E-3</v>
      </c>
      <c r="I20" s="5">
        <v>42037</v>
      </c>
      <c r="J20" s="5">
        <v>4</v>
      </c>
      <c r="K20" s="5">
        <v>1</v>
      </c>
      <c r="L20" s="5">
        <v>18</v>
      </c>
      <c r="M20" s="5">
        <v>0</v>
      </c>
      <c r="N20" s="5">
        <f>VLOOKUP(Normalized!A20,'Median Income'!$A$1:$D$69,4,FALSE)</f>
        <v>1</v>
      </c>
    </row>
    <row r="21" spans="1:14" x14ac:dyDescent="0.2">
      <c r="A21" s="4" t="s">
        <v>32</v>
      </c>
      <c r="B21" s="5">
        <v>6.2961453095982242E-3</v>
      </c>
      <c r="C21" s="5">
        <v>7.2123397678717539E-3</v>
      </c>
      <c r="D21" s="5">
        <v>7.6236332631156589E-3</v>
      </c>
      <c r="E21" s="5">
        <v>6.1010664650348826E-3</v>
      </c>
      <c r="F21" s="5">
        <v>6.6970096618621851E-3</v>
      </c>
      <c r="G21" s="5">
        <f t="shared" si="0"/>
        <v>6.1010664650348826E-3</v>
      </c>
      <c r="H21" s="5">
        <f t="shared" si="1"/>
        <v>7.6236332631156589E-3</v>
      </c>
      <c r="I21" s="5">
        <v>42039</v>
      </c>
      <c r="J21" s="5">
        <v>4</v>
      </c>
      <c r="K21" s="5">
        <v>1</v>
      </c>
      <c r="L21" s="5">
        <v>46</v>
      </c>
      <c r="M21" s="5">
        <v>1</v>
      </c>
      <c r="N21" s="5">
        <f>VLOOKUP(Normalized!A21,'Median Income'!$A$1:$D$69,4,FALSE)</f>
        <v>1</v>
      </c>
    </row>
    <row r="22" spans="1:14" x14ac:dyDescent="0.2">
      <c r="A22" s="2" t="s">
        <v>33</v>
      </c>
      <c r="B22" s="3">
        <v>1.2456402590931739E-2</v>
      </c>
      <c r="C22" s="3">
        <v>1.118215703506167E-2</v>
      </c>
      <c r="D22" s="3">
        <v>7.3227003711505666E-3</v>
      </c>
      <c r="E22" s="3">
        <v>8.9641516349373666E-3</v>
      </c>
      <c r="F22" s="3">
        <v>1.9491647988942679E-2</v>
      </c>
      <c r="G22" s="3">
        <f t="shared" si="0"/>
        <v>7.3227003711505666E-3</v>
      </c>
      <c r="H22" s="3">
        <f t="shared" si="1"/>
        <v>1.2456402590931739E-2</v>
      </c>
      <c r="I22" s="3">
        <v>42041</v>
      </c>
      <c r="J22" s="3">
        <v>2</v>
      </c>
      <c r="K22" s="3">
        <v>0</v>
      </c>
      <c r="L22" s="3">
        <v>4</v>
      </c>
      <c r="M22" s="3">
        <v>0</v>
      </c>
      <c r="N22" s="3">
        <f>VLOOKUP(Normalized!A22,'Median Income'!$A$1:$D$69,4,FALSE)</f>
        <v>0</v>
      </c>
    </row>
    <row r="23" spans="1:14" x14ac:dyDescent="0.2">
      <c r="A23" s="2" t="s">
        <v>34</v>
      </c>
      <c r="B23" s="3">
        <v>1.952258006069665E-2</v>
      </c>
      <c r="C23" s="3">
        <v>1.3697384769235431E-2</v>
      </c>
      <c r="D23" s="3">
        <v>1.359213562042331E-2</v>
      </c>
      <c r="E23" s="3">
        <v>1.419772835892872E-2</v>
      </c>
      <c r="F23" s="3">
        <v>2.154800872139611E-2</v>
      </c>
      <c r="G23" s="3">
        <f t="shared" si="0"/>
        <v>1.359213562042331E-2</v>
      </c>
      <c r="H23" s="3">
        <f t="shared" si="1"/>
        <v>1.952258006069665E-2</v>
      </c>
      <c r="I23" s="3">
        <v>42043</v>
      </c>
      <c r="J23" s="3">
        <v>2</v>
      </c>
      <c r="K23" s="3">
        <v>0</v>
      </c>
      <c r="L23" s="3">
        <v>19</v>
      </c>
      <c r="M23" s="3">
        <v>0</v>
      </c>
      <c r="N23" s="3">
        <f>VLOOKUP(Normalized!A23,'Median Income'!$A$1:$D$69,4,FALSE)</f>
        <v>0</v>
      </c>
    </row>
    <row r="24" spans="1:14" x14ac:dyDescent="0.2">
      <c r="A24" s="2" t="s">
        <v>35</v>
      </c>
      <c r="B24" s="3">
        <v>5.1501562712325047E-2</v>
      </c>
      <c r="C24" s="3">
        <v>7.554774387102639E-2</v>
      </c>
      <c r="D24" s="3">
        <v>4.69956866285485E-2</v>
      </c>
      <c r="E24" s="3">
        <v>9.7870306149245842E-2</v>
      </c>
      <c r="F24" s="3">
        <v>4.4134986197898143E-2</v>
      </c>
      <c r="G24" s="3">
        <f t="shared" si="0"/>
        <v>4.69956866285485E-2</v>
      </c>
      <c r="H24" s="3">
        <f t="shared" si="1"/>
        <v>9.7870306149245842E-2</v>
      </c>
      <c r="I24" s="3">
        <v>42045</v>
      </c>
      <c r="J24" s="3">
        <v>1</v>
      </c>
      <c r="K24" s="3">
        <v>0</v>
      </c>
      <c r="L24" s="3">
        <v>11</v>
      </c>
      <c r="M24" s="3">
        <v>0</v>
      </c>
      <c r="N24" s="3">
        <f>VLOOKUP(Normalized!A24,'Median Income'!$A$1:$D$69,4,FALSE)</f>
        <v>0</v>
      </c>
    </row>
    <row r="25" spans="1:14" x14ac:dyDescent="0.2">
      <c r="A25" s="4" t="s">
        <v>36</v>
      </c>
      <c r="B25" s="5">
        <v>1.404176292068669E-3</v>
      </c>
      <c r="C25" s="5">
        <v>2.697051425800782E-3</v>
      </c>
      <c r="D25" s="5">
        <v>6.5202126592436556E-4</v>
      </c>
      <c r="E25" s="5">
        <v>2.2457403949356909E-3</v>
      </c>
      <c r="F25" s="5">
        <v>2.3718820188046311E-3</v>
      </c>
      <c r="G25" s="5">
        <f t="shared" si="0"/>
        <v>6.5202126592436556E-4</v>
      </c>
      <c r="H25" s="5">
        <f t="shared" si="1"/>
        <v>2.697051425800782E-3</v>
      </c>
      <c r="I25" s="5">
        <v>42047</v>
      </c>
      <c r="J25" s="5">
        <v>7</v>
      </c>
      <c r="K25" s="5">
        <v>1</v>
      </c>
      <c r="L25" s="5">
        <v>22</v>
      </c>
      <c r="M25" s="5">
        <v>0</v>
      </c>
      <c r="N25" s="5">
        <f>VLOOKUP(Normalized!A25,'Median Income'!$A$1:$D$69,4,FALSE)</f>
        <v>1</v>
      </c>
    </row>
    <row r="26" spans="1:14" x14ac:dyDescent="0.2">
      <c r="A26" s="2" t="s">
        <v>37</v>
      </c>
      <c r="B26" s="3">
        <v>1.816369977804955E-2</v>
      </c>
      <c r="C26" s="3">
        <v>2.5788660262432199E-2</v>
      </c>
      <c r="D26" s="3">
        <v>2.1817634667469159E-2</v>
      </c>
      <c r="E26" s="3">
        <v>1.863603053298904E-2</v>
      </c>
      <c r="F26" s="3">
        <v>2.1407525135773441E-2</v>
      </c>
      <c r="G26" s="3">
        <f t="shared" si="0"/>
        <v>1.816369977804955E-2</v>
      </c>
      <c r="H26" s="3">
        <f t="shared" si="1"/>
        <v>2.5788660262432199E-2</v>
      </c>
      <c r="I26" s="3">
        <v>42049</v>
      </c>
      <c r="J26" s="3">
        <v>2</v>
      </c>
      <c r="K26" s="3">
        <v>0</v>
      </c>
      <c r="L26" s="3">
        <v>48</v>
      </c>
      <c r="M26" s="3">
        <v>1</v>
      </c>
      <c r="N26" s="3">
        <f>VLOOKUP(Normalized!A26,'Median Income'!$A$1:$D$69,4,FALSE)</f>
        <v>1</v>
      </c>
    </row>
    <row r="27" spans="1:14" x14ac:dyDescent="0.2">
      <c r="A27" s="2" t="s">
        <v>38</v>
      </c>
      <c r="B27" s="3">
        <v>1.3860578883000411E-2</v>
      </c>
      <c r="C27" s="3">
        <v>8.2123700718203588E-3</v>
      </c>
      <c r="D27" s="3">
        <v>1.7153174842010229E-2</v>
      </c>
      <c r="E27" s="3">
        <v>1.432615806643678E-2</v>
      </c>
      <c r="F27" s="3">
        <v>1.0264761134907241E-2</v>
      </c>
      <c r="G27" s="3">
        <f t="shared" si="0"/>
        <v>8.2123700718203588E-3</v>
      </c>
      <c r="H27" s="3">
        <f t="shared" si="1"/>
        <v>1.7153174842010229E-2</v>
      </c>
      <c r="I27" s="3">
        <v>42051</v>
      </c>
      <c r="J27" s="3">
        <v>1</v>
      </c>
      <c r="K27" s="3">
        <v>0</v>
      </c>
      <c r="L27" s="3">
        <v>65</v>
      </c>
      <c r="M27" s="3">
        <v>1</v>
      </c>
      <c r="N27" s="3">
        <f>VLOOKUP(Normalized!A27,'Median Income'!$A$1:$D$69,4,FALSE)</f>
        <v>1</v>
      </c>
    </row>
    <row r="28" spans="1:14" x14ac:dyDescent="0.2">
      <c r="A28" s="4" t="s">
        <v>39</v>
      </c>
      <c r="B28" s="5">
        <v>4.0766408479412958E-4</v>
      </c>
      <c r="C28" s="5">
        <v>1.212157944180127E-3</v>
      </c>
      <c r="D28" s="5">
        <v>0</v>
      </c>
      <c r="E28" s="5">
        <v>4.2881655770949219E-4</v>
      </c>
      <c r="F28" s="5">
        <v>5.7170643386678533E-4</v>
      </c>
      <c r="G28" s="5">
        <f t="shared" si="0"/>
        <v>0</v>
      </c>
      <c r="H28" s="5">
        <f t="shared" si="1"/>
        <v>1.212157944180127E-3</v>
      </c>
      <c r="I28" s="5">
        <v>42053</v>
      </c>
      <c r="J28" s="5">
        <v>9</v>
      </c>
      <c r="K28" s="5">
        <v>1</v>
      </c>
      <c r="L28" s="5">
        <v>67</v>
      </c>
      <c r="M28" s="5">
        <v>1</v>
      </c>
      <c r="N28" s="5">
        <f>VLOOKUP(Normalized!A28,'Median Income'!$A$1:$D$69,4,FALSE)</f>
        <v>1</v>
      </c>
    </row>
    <row r="29" spans="1:14" x14ac:dyDescent="0.2">
      <c r="A29" s="2" t="s">
        <v>40</v>
      </c>
      <c r="B29" s="3">
        <v>6.0696652624903742E-3</v>
      </c>
      <c r="C29" s="3">
        <v>7.3941634594987728E-3</v>
      </c>
      <c r="D29" s="3">
        <v>2.5077740997090981E-3</v>
      </c>
      <c r="E29" s="3">
        <v>3.6778430001118199E-3</v>
      </c>
      <c r="F29" s="3">
        <v>1.20507085548015E-2</v>
      </c>
      <c r="G29" s="3">
        <f t="shared" si="0"/>
        <v>2.5077740997090981E-3</v>
      </c>
      <c r="H29" s="3">
        <f t="shared" si="1"/>
        <v>7.3941634594987728E-3</v>
      </c>
      <c r="I29" s="3">
        <v>42055</v>
      </c>
      <c r="J29" s="3">
        <v>3</v>
      </c>
      <c r="K29" s="3">
        <v>0</v>
      </c>
      <c r="L29" s="3">
        <v>20</v>
      </c>
      <c r="M29" s="3">
        <v>0</v>
      </c>
      <c r="N29" s="3">
        <f>VLOOKUP(Normalized!A29,'Median Income'!$A$1:$D$69,4,FALSE)</f>
        <v>0</v>
      </c>
    </row>
    <row r="30" spans="1:14" x14ac:dyDescent="0.2">
      <c r="A30" s="4" t="s">
        <v>41</v>
      </c>
      <c r="B30" s="5">
        <v>9.9651220727453907E-4</v>
      </c>
      <c r="C30" s="5">
        <v>1.212157944180127E-3</v>
      </c>
      <c r="D30" s="5">
        <v>3.0093289196509181E-4</v>
      </c>
      <c r="E30" s="5">
        <v>3.5429540014066878E-4</v>
      </c>
      <c r="F30" s="5">
        <v>1.134031660012524E-3</v>
      </c>
      <c r="G30" s="5">
        <f t="shared" si="0"/>
        <v>3.0093289196509181E-4</v>
      </c>
      <c r="H30" s="5">
        <f t="shared" si="1"/>
        <v>1.212157944180127E-3</v>
      </c>
      <c r="I30" s="5">
        <v>42057</v>
      </c>
      <c r="J30" s="5">
        <v>8</v>
      </c>
      <c r="K30" s="5">
        <v>1</v>
      </c>
      <c r="L30" s="5">
        <v>36</v>
      </c>
      <c r="M30" s="5">
        <v>1</v>
      </c>
      <c r="N30" s="5">
        <f>VLOOKUP(Normalized!A30,'Median Income'!$A$1:$D$69,4,FALSE)</f>
        <v>0</v>
      </c>
    </row>
    <row r="31" spans="1:14" x14ac:dyDescent="0.2">
      <c r="A31" s="4" t="s">
        <v>42</v>
      </c>
      <c r="B31" s="5">
        <v>2.9442406124020469E-3</v>
      </c>
      <c r="C31" s="5">
        <v>1.4545895330161521E-3</v>
      </c>
      <c r="D31" s="5">
        <v>1.554819941819641E-3</v>
      </c>
      <c r="E31" s="5">
        <v>1.355242804756035E-3</v>
      </c>
      <c r="F31" s="5">
        <v>2.8823760722915871E-3</v>
      </c>
      <c r="G31" s="5">
        <f t="shared" si="0"/>
        <v>1.355242804756035E-3</v>
      </c>
      <c r="H31" s="5">
        <f t="shared" si="1"/>
        <v>2.9442406124020469E-3</v>
      </c>
      <c r="I31" s="5">
        <v>42059</v>
      </c>
      <c r="J31" s="5">
        <v>6</v>
      </c>
      <c r="K31" s="5">
        <v>1</v>
      </c>
      <c r="L31" s="5">
        <v>64</v>
      </c>
      <c r="M31" s="5">
        <v>1</v>
      </c>
      <c r="N31" s="5">
        <f>VLOOKUP(Normalized!A31,'Median Income'!$A$1:$D$69,4,FALSE)</f>
        <v>0</v>
      </c>
    </row>
    <row r="32" spans="1:14" x14ac:dyDescent="0.2">
      <c r="A32" s="4" t="s">
        <v>43</v>
      </c>
      <c r="B32" s="5">
        <v>2.4459845087647781E-3</v>
      </c>
      <c r="C32" s="5">
        <v>1.5758053274341651E-3</v>
      </c>
      <c r="D32" s="5">
        <v>1.554819941819641E-3</v>
      </c>
      <c r="E32" s="5">
        <v>9.2578660376480394E-4</v>
      </c>
      <c r="F32" s="5">
        <v>3.546800109134717E-3</v>
      </c>
      <c r="G32" s="5">
        <f t="shared" si="0"/>
        <v>9.2578660376480394E-4</v>
      </c>
      <c r="H32" s="5">
        <f t="shared" si="1"/>
        <v>2.4459845087647781E-3</v>
      </c>
      <c r="I32" s="5">
        <v>42061</v>
      </c>
      <c r="J32" s="5">
        <v>6</v>
      </c>
      <c r="K32" s="5">
        <v>1</v>
      </c>
      <c r="L32" s="5">
        <v>53</v>
      </c>
      <c r="M32" s="5">
        <v>1</v>
      </c>
      <c r="N32" s="5">
        <f>VLOOKUP(Normalized!A32,'Median Income'!$A$1:$D$69,4,FALSE)</f>
        <v>0</v>
      </c>
    </row>
    <row r="33" spans="1:14" x14ac:dyDescent="0.2">
      <c r="A33" s="4" t="s">
        <v>44</v>
      </c>
      <c r="B33" s="5">
        <v>8.3797617429904429E-3</v>
      </c>
      <c r="C33" s="5">
        <v>3.0910027576593231E-3</v>
      </c>
      <c r="D33" s="5">
        <v>5.8180359113251066E-3</v>
      </c>
      <c r="E33" s="5">
        <v>8.4720732911588038E-3</v>
      </c>
      <c r="F33" s="5">
        <v>6.6475237911336636E-3</v>
      </c>
      <c r="G33" s="5">
        <f t="shared" si="0"/>
        <v>3.0910027576593231E-3</v>
      </c>
      <c r="H33" s="5">
        <f t="shared" si="1"/>
        <v>8.4720732911588038E-3</v>
      </c>
      <c r="I33" s="5">
        <v>42063</v>
      </c>
      <c r="J33" s="5">
        <v>4</v>
      </c>
      <c r="K33" s="5">
        <v>1</v>
      </c>
      <c r="L33" s="5">
        <v>43</v>
      </c>
      <c r="M33" s="5">
        <v>1</v>
      </c>
      <c r="N33" s="5">
        <f>VLOOKUP(Normalized!A33,'Median Income'!$A$1:$D$69,4,FALSE)</f>
        <v>1</v>
      </c>
    </row>
    <row r="34" spans="1:14" x14ac:dyDescent="0.2">
      <c r="A34" s="4" t="s">
        <v>45</v>
      </c>
      <c r="B34" s="5">
        <v>2.4912805181863478E-3</v>
      </c>
      <c r="C34" s="5">
        <v>1.636413224643171E-3</v>
      </c>
      <c r="D34" s="5">
        <v>9.5295415788945737E-4</v>
      </c>
      <c r="E34" s="5">
        <v>1.8746878292303249E-3</v>
      </c>
      <c r="F34" s="5">
        <v>3.4277369478084331E-3</v>
      </c>
      <c r="G34" s="5">
        <f t="shared" si="0"/>
        <v>9.5295415788945737E-4</v>
      </c>
      <c r="H34" s="5">
        <f t="shared" si="1"/>
        <v>2.4912805181863478E-3</v>
      </c>
      <c r="I34" s="5">
        <v>42065</v>
      </c>
      <c r="J34" s="5">
        <v>7</v>
      </c>
      <c r="K34" s="5">
        <v>1</v>
      </c>
      <c r="L34" s="5">
        <v>49</v>
      </c>
      <c r="M34" s="5">
        <v>1</v>
      </c>
      <c r="N34" s="5">
        <f>VLOOKUP(Normalized!A34,'Median Income'!$A$1:$D$69,4,FALSE)</f>
        <v>1</v>
      </c>
    </row>
    <row r="35" spans="1:14" x14ac:dyDescent="0.2">
      <c r="A35" s="4" t="s">
        <v>46</v>
      </c>
      <c r="B35" s="5">
        <v>4.5296009421569961E-4</v>
      </c>
      <c r="C35" s="5">
        <v>1.212157944180127E-3</v>
      </c>
      <c r="D35" s="5">
        <v>2.507774099709098E-4</v>
      </c>
      <c r="E35" s="5">
        <v>6.5965591046910483E-4</v>
      </c>
      <c r="F35" s="5">
        <v>1.9250238243587749E-3</v>
      </c>
      <c r="G35" s="5">
        <f t="shared" si="0"/>
        <v>2.507774099709098E-4</v>
      </c>
      <c r="H35" s="5">
        <f t="shared" si="1"/>
        <v>1.212157944180127E-3</v>
      </c>
      <c r="I35" s="5">
        <v>42067</v>
      </c>
      <c r="J35" s="5">
        <v>8</v>
      </c>
      <c r="K35" s="5">
        <v>1</v>
      </c>
      <c r="L35" s="5">
        <v>35</v>
      </c>
      <c r="M35" s="5">
        <v>1</v>
      </c>
      <c r="N35" s="5">
        <f>VLOOKUP(Normalized!A35,'Median Income'!$A$1:$D$69,4,FALSE)</f>
        <v>1</v>
      </c>
    </row>
    <row r="36" spans="1:14" x14ac:dyDescent="0.2">
      <c r="A36" s="2" t="s">
        <v>47</v>
      </c>
      <c r="B36" s="3">
        <v>1.7484259636726E-2</v>
      </c>
      <c r="C36" s="3">
        <v>9.3033122215824722E-3</v>
      </c>
      <c r="D36" s="3">
        <v>8.1753435650516598E-3</v>
      </c>
      <c r="E36" s="3">
        <v>1.7192745543555332E-2</v>
      </c>
      <c r="F36" s="3">
        <v>1.6468084740449349E-2</v>
      </c>
      <c r="G36" s="3">
        <f t="shared" si="0"/>
        <v>8.1753435650516598E-3</v>
      </c>
      <c r="H36" s="3">
        <f t="shared" si="1"/>
        <v>1.7484259636726E-2</v>
      </c>
      <c r="I36" s="3">
        <v>42069</v>
      </c>
      <c r="J36" s="3">
        <v>2</v>
      </c>
      <c r="K36" s="3">
        <v>0</v>
      </c>
      <c r="L36" s="3">
        <v>24</v>
      </c>
      <c r="M36" s="3">
        <v>0</v>
      </c>
      <c r="N36" s="3">
        <f>VLOOKUP(Normalized!A36,'Median Income'!$A$1:$D$69,4,FALSE)</f>
        <v>1</v>
      </c>
    </row>
    <row r="37" spans="1:14" x14ac:dyDescent="0.2">
      <c r="A37" s="2" t="s">
        <v>48</v>
      </c>
      <c r="B37" s="3">
        <v>2.7041717624677261E-2</v>
      </c>
      <c r="C37" s="3">
        <v>2.6061395799872721E-2</v>
      </c>
      <c r="D37" s="3">
        <v>1.8858461229812419E-2</v>
      </c>
      <c r="E37" s="3">
        <v>1.432002390652147E-2</v>
      </c>
      <c r="F37" s="3">
        <v>4.229353329898769E-2</v>
      </c>
      <c r="G37" s="3">
        <f t="shared" si="0"/>
        <v>1.432002390652147E-2</v>
      </c>
      <c r="H37" s="3">
        <f t="shared" si="1"/>
        <v>2.7041717624677261E-2</v>
      </c>
      <c r="I37" s="3">
        <v>42071</v>
      </c>
      <c r="J37" s="3">
        <v>2</v>
      </c>
      <c r="K37" s="3">
        <v>0</v>
      </c>
      <c r="L37" s="3">
        <v>12</v>
      </c>
      <c r="M37" s="3">
        <v>0</v>
      </c>
      <c r="N37" s="3">
        <f>VLOOKUP(Normalized!A37,'Median Income'!$A$1:$D$69,4,FALSE)</f>
        <v>0</v>
      </c>
    </row>
    <row r="38" spans="1:14" x14ac:dyDescent="0.2">
      <c r="A38" s="2" t="s">
        <v>49</v>
      </c>
      <c r="B38" s="3">
        <v>9.1950899125787019E-3</v>
      </c>
      <c r="C38" s="3">
        <v>5.0001515197430216E-3</v>
      </c>
      <c r="D38" s="3">
        <v>1.2889958872504759E-2</v>
      </c>
      <c r="E38" s="3">
        <v>1.3171259529356031E-2</v>
      </c>
      <c r="F38" s="3">
        <v>6.7800333501934476E-3</v>
      </c>
      <c r="G38" s="3">
        <f t="shared" si="0"/>
        <v>5.0001515197430216E-3</v>
      </c>
      <c r="H38" s="3">
        <f t="shared" si="1"/>
        <v>1.3171259529356031E-2</v>
      </c>
      <c r="I38" s="3">
        <v>42073</v>
      </c>
      <c r="J38" s="3">
        <v>1</v>
      </c>
      <c r="K38" s="3">
        <v>0</v>
      </c>
      <c r="L38" s="3">
        <v>57</v>
      </c>
      <c r="M38" s="3">
        <v>1</v>
      </c>
      <c r="N38" s="3">
        <f>VLOOKUP(Normalized!A38,'Median Income'!$A$1:$D$69,4,FALSE)</f>
        <v>1</v>
      </c>
    </row>
    <row r="39" spans="1:14" x14ac:dyDescent="0.2">
      <c r="A39" s="2" t="s">
        <v>50</v>
      </c>
      <c r="B39" s="3">
        <v>4.9372650269511259E-3</v>
      </c>
      <c r="C39" s="3">
        <v>5.6062304918330858E-3</v>
      </c>
      <c r="D39" s="3">
        <v>1.033202929080148E-2</v>
      </c>
      <c r="E39" s="3">
        <v>4.3592730968717757E-3</v>
      </c>
      <c r="F39" s="3">
        <v>1.092355644711774E-2</v>
      </c>
      <c r="G39" s="3">
        <f t="shared" si="0"/>
        <v>4.3592730968717757E-3</v>
      </c>
      <c r="H39" s="3">
        <f t="shared" si="1"/>
        <v>1.033202929080148E-2</v>
      </c>
      <c r="I39" s="3">
        <v>42075</v>
      </c>
      <c r="J39" s="3">
        <v>3</v>
      </c>
      <c r="K39" s="3">
        <v>0</v>
      </c>
      <c r="L39" s="3">
        <v>17</v>
      </c>
      <c r="M39" s="3">
        <v>0</v>
      </c>
      <c r="N39" s="3">
        <f>VLOOKUP(Normalized!A39,'Median Income'!$A$1:$D$69,4,FALSE)</f>
        <v>0</v>
      </c>
    </row>
    <row r="40" spans="1:14" x14ac:dyDescent="0.2">
      <c r="A40" s="2" t="s">
        <v>51</v>
      </c>
      <c r="B40" s="3">
        <v>2.1243828418716311E-2</v>
      </c>
      <c r="C40" s="3">
        <v>1.9667262644322552E-2</v>
      </c>
      <c r="D40" s="3">
        <v>3.1748420102317182E-2</v>
      </c>
      <c r="E40" s="3">
        <v>1.146235337642763E-2</v>
      </c>
      <c r="F40" s="3">
        <v>2.853857200819605E-2</v>
      </c>
      <c r="G40" s="3">
        <f t="shared" si="0"/>
        <v>1.146235337642763E-2</v>
      </c>
      <c r="H40" s="3">
        <f t="shared" si="1"/>
        <v>3.1748420102317182E-2</v>
      </c>
      <c r="I40" s="3">
        <v>42077</v>
      </c>
      <c r="J40" s="3">
        <v>2</v>
      </c>
      <c r="K40" s="3">
        <v>0</v>
      </c>
      <c r="L40" s="3">
        <v>23</v>
      </c>
      <c r="M40" s="3">
        <v>0</v>
      </c>
      <c r="N40" s="3">
        <f>VLOOKUP(Normalized!A40,'Median Income'!$A$1:$D$69,4,FALSE)</f>
        <v>0</v>
      </c>
    </row>
    <row r="41" spans="1:14" x14ac:dyDescent="0.2">
      <c r="A41" s="2" t="s">
        <v>52</v>
      </c>
      <c r="B41" s="3">
        <v>2.93971101145989E-2</v>
      </c>
      <c r="C41" s="3">
        <v>1.5212582199460589E-2</v>
      </c>
      <c r="D41" s="3">
        <v>4.1528739091182668E-2</v>
      </c>
      <c r="E41" s="3">
        <v>4.8576010971104068E-2</v>
      </c>
      <c r="F41" s="3">
        <v>2.4833854902423711E-2</v>
      </c>
      <c r="G41" s="3">
        <f t="shared" si="0"/>
        <v>1.5212582199460589E-2</v>
      </c>
      <c r="H41" s="3">
        <f t="shared" si="1"/>
        <v>4.8576010971104068E-2</v>
      </c>
      <c r="I41" s="3">
        <v>42079</v>
      </c>
      <c r="J41" s="3">
        <v>2</v>
      </c>
      <c r="K41" s="3">
        <v>0</v>
      </c>
      <c r="L41" s="3">
        <v>59</v>
      </c>
      <c r="M41" s="3">
        <v>1</v>
      </c>
      <c r="N41" s="3">
        <f>VLOOKUP(Normalized!A41,'Median Income'!$A$1:$D$69,4,FALSE)</f>
        <v>1</v>
      </c>
    </row>
    <row r="42" spans="1:14" x14ac:dyDescent="0.2">
      <c r="A42" s="2" t="s">
        <v>53</v>
      </c>
      <c r="B42" s="3">
        <v>6.2055532907550849E-3</v>
      </c>
      <c r="C42" s="3">
        <v>4.424376496257462E-3</v>
      </c>
      <c r="D42" s="3">
        <v>1.098405055672585E-2</v>
      </c>
      <c r="E42" s="3">
        <v>4.2889972333381866E-3</v>
      </c>
      <c r="F42" s="3">
        <v>8.9379456562272072E-3</v>
      </c>
      <c r="G42" s="3">
        <f t="shared" si="0"/>
        <v>4.2889972333381866E-3</v>
      </c>
      <c r="H42" s="3">
        <f t="shared" si="1"/>
        <v>1.098405055672585E-2</v>
      </c>
      <c r="I42" s="3">
        <v>42081</v>
      </c>
      <c r="J42" s="3">
        <v>3</v>
      </c>
      <c r="K42" s="3">
        <v>0</v>
      </c>
      <c r="L42" s="3">
        <v>25</v>
      </c>
      <c r="M42" s="3">
        <v>0</v>
      </c>
      <c r="N42" s="3">
        <f>VLOOKUP(Normalized!A42,'Median Income'!$A$1:$D$69,4,FALSE)</f>
        <v>1</v>
      </c>
    </row>
    <row r="43" spans="1:14" x14ac:dyDescent="0.2">
      <c r="A43" s="4" t="s">
        <v>54</v>
      </c>
      <c r="B43" s="5">
        <v>1.811840376862798E-3</v>
      </c>
      <c r="C43" s="5">
        <v>2.5152277341737631E-3</v>
      </c>
      <c r="D43" s="5">
        <v>7.0217674791854751E-4</v>
      </c>
      <c r="E43" s="5">
        <v>2.172992728680856E-3</v>
      </c>
      <c r="F43" s="5">
        <v>3.2365948404921071E-3</v>
      </c>
      <c r="G43" s="5">
        <f t="shared" si="0"/>
        <v>7.0217674791854751E-4</v>
      </c>
      <c r="H43" s="5">
        <f t="shared" si="1"/>
        <v>2.5152277341737631E-3</v>
      </c>
      <c r="I43" s="5">
        <v>42083</v>
      </c>
      <c r="J43" s="5">
        <v>7</v>
      </c>
      <c r="K43" s="5">
        <v>1</v>
      </c>
      <c r="L43" s="5">
        <v>38</v>
      </c>
      <c r="M43" s="5">
        <v>1</v>
      </c>
      <c r="N43" s="5">
        <f>VLOOKUP(Normalized!A43,'Median Income'!$A$1:$D$69,4,FALSE)</f>
        <v>1</v>
      </c>
    </row>
    <row r="44" spans="1:14" x14ac:dyDescent="0.2">
      <c r="A44" s="4" t="s">
        <v>55</v>
      </c>
      <c r="B44" s="5">
        <v>8.3797617429904429E-3</v>
      </c>
      <c r="C44" s="5">
        <v>5.6062304918330858E-3</v>
      </c>
      <c r="D44" s="5">
        <v>1.554819941819641E-2</v>
      </c>
      <c r="E44" s="5">
        <v>8.6532204383683361E-3</v>
      </c>
      <c r="F44" s="5">
        <v>8.7181126886306803E-3</v>
      </c>
      <c r="G44" s="5">
        <f t="shared" si="0"/>
        <v>5.6062304918330858E-3</v>
      </c>
      <c r="H44" s="5">
        <f t="shared" si="1"/>
        <v>1.554819941819641E-2</v>
      </c>
      <c r="I44" s="5">
        <v>42085</v>
      </c>
      <c r="J44" s="5">
        <v>4</v>
      </c>
      <c r="K44" s="5">
        <v>1</v>
      </c>
      <c r="L44" s="5">
        <v>42</v>
      </c>
      <c r="M44" s="5">
        <v>1</v>
      </c>
      <c r="N44" s="5">
        <f>VLOOKUP(Normalized!A44,'Median Income'!$A$1:$D$69,4,FALSE)</f>
        <v>1</v>
      </c>
    </row>
    <row r="45" spans="1:14" x14ac:dyDescent="0.2">
      <c r="A45" s="4" t="s">
        <v>56</v>
      </c>
      <c r="B45" s="5">
        <v>2.3100964805000679E-3</v>
      </c>
      <c r="C45" s="5">
        <v>1.8788448134791961E-3</v>
      </c>
      <c r="D45" s="5">
        <v>8.5264319390109336E-4</v>
      </c>
      <c r="E45" s="5">
        <v>1.2743805231006261E-3</v>
      </c>
      <c r="F45" s="5">
        <v>3.6177064041596281E-3</v>
      </c>
      <c r="G45" s="5">
        <f t="shared" si="0"/>
        <v>8.5264319390109336E-4</v>
      </c>
      <c r="H45" s="5">
        <f t="shared" si="1"/>
        <v>2.3100964805000679E-3</v>
      </c>
      <c r="I45" s="5">
        <v>42087</v>
      </c>
      <c r="J45" s="5">
        <v>4</v>
      </c>
      <c r="K45" s="5">
        <v>1</v>
      </c>
      <c r="L45" s="5">
        <v>63</v>
      </c>
      <c r="M45" s="5">
        <v>1</v>
      </c>
      <c r="N45" s="5">
        <f>VLOOKUP(Normalized!A45,'Median Income'!$A$1:$D$69,4,FALSE)</f>
        <v>1</v>
      </c>
    </row>
    <row r="46" spans="1:14" x14ac:dyDescent="0.2">
      <c r="A46" s="4" t="s">
        <v>57</v>
      </c>
      <c r="B46" s="5">
        <v>8.4703537618335822E-3</v>
      </c>
      <c r="C46" s="5">
        <v>9.8184793478590261E-3</v>
      </c>
      <c r="D46" s="5">
        <v>6.3697462132611092E-3</v>
      </c>
      <c r="E46" s="5">
        <v>8.2202611309490827E-3</v>
      </c>
      <c r="F46" s="5">
        <v>1.313619246485761E-2</v>
      </c>
      <c r="G46" s="5">
        <f t="shared" si="0"/>
        <v>6.3697462132611092E-3</v>
      </c>
      <c r="H46" s="5">
        <f t="shared" si="1"/>
        <v>9.8184793478590261E-3</v>
      </c>
      <c r="I46" s="5">
        <v>42089</v>
      </c>
      <c r="J46" s="5">
        <v>4</v>
      </c>
      <c r="K46" s="5">
        <v>1</v>
      </c>
      <c r="L46" s="5">
        <v>40</v>
      </c>
      <c r="M46" s="5">
        <v>1</v>
      </c>
      <c r="N46" s="5">
        <f>VLOOKUP(Normalized!A46,'Median Income'!$A$1:$D$69,4,FALSE)</f>
        <v>0</v>
      </c>
    </row>
    <row r="47" spans="1:14" x14ac:dyDescent="0.2">
      <c r="A47" s="2" t="s">
        <v>58</v>
      </c>
      <c r="B47" s="3">
        <v>4.76514019114916E-2</v>
      </c>
      <c r="C47" s="3">
        <v>6.1850359101790972E-2</v>
      </c>
      <c r="D47" s="3">
        <v>3.6964590229712109E-2</v>
      </c>
      <c r="E47" s="3">
        <v>5.8253827495377393E-2</v>
      </c>
      <c r="F47" s="3">
        <v>6.4403789069798531E-2</v>
      </c>
      <c r="G47" s="3">
        <f t="shared" si="0"/>
        <v>3.6964590229712109E-2</v>
      </c>
      <c r="H47" s="3">
        <f t="shared" si="1"/>
        <v>6.1850359101790972E-2</v>
      </c>
      <c r="I47" s="3">
        <v>42091</v>
      </c>
      <c r="J47" s="3">
        <v>1</v>
      </c>
      <c r="K47" s="3">
        <v>0</v>
      </c>
      <c r="L47" s="3">
        <v>1</v>
      </c>
      <c r="M47" s="3">
        <v>0</v>
      </c>
      <c r="N47" s="3">
        <f>VLOOKUP(Normalized!A47,'Median Income'!$A$1:$D$69,4,FALSE)</f>
        <v>0</v>
      </c>
    </row>
    <row r="48" spans="1:14" x14ac:dyDescent="0.2">
      <c r="A48" s="4" t="s">
        <v>59</v>
      </c>
      <c r="B48" s="5">
        <v>1.4494723014902391E-3</v>
      </c>
      <c r="C48" s="5">
        <v>1.212157944180127E-3</v>
      </c>
      <c r="D48" s="5">
        <v>1.003109639883639E-3</v>
      </c>
      <c r="E48" s="5">
        <v>2.0188703975356189E-3</v>
      </c>
      <c r="F48" s="5">
        <v>1.427428931488258E-3</v>
      </c>
      <c r="G48" s="5">
        <f t="shared" si="0"/>
        <v>1.003109639883639E-3</v>
      </c>
      <c r="H48" s="5">
        <f t="shared" si="1"/>
        <v>2.0188703975356189E-3</v>
      </c>
      <c r="I48" s="5">
        <v>42093</v>
      </c>
      <c r="J48" s="5">
        <v>6</v>
      </c>
      <c r="K48" s="5">
        <v>1</v>
      </c>
      <c r="L48" s="5">
        <v>7</v>
      </c>
      <c r="M48" s="5">
        <v>0</v>
      </c>
      <c r="N48" s="5">
        <f>VLOOKUP(Normalized!A48,'Median Income'!$A$1:$D$69,4,FALSE)</f>
        <v>0</v>
      </c>
    </row>
    <row r="49" spans="1:14" x14ac:dyDescent="0.2">
      <c r="A49" s="2" t="s">
        <v>60</v>
      </c>
      <c r="B49" s="3">
        <v>2.088146034334375E-2</v>
      </c>
      <c r="C49" s="3">
        <v>1.9273311312464011E-2</v>
      </c>
      <c r="D49" s="3">
        <v>1.22379376065804E-2</v>
      </c>
      <c r="E49" s="3">
        <v>1.103759614401977E-2</v>
      </c>
      <c r="F49" s="3">
        <v>2.3672617740020149E-2</v>
      </c>
      <c r="G49" s="3">
        <f t="shared" si="0"/>
        <v>1.103759614401977E-2</v>
      </c>
      <c r="H49" s="3">
        <f t="shared" si="1"/>
        <v>2.088146034334375E-2</v>
      </c>
      <c r="I49" s="3">
        <v>42095</v>
      </c>
      <c r="J49" s="3">
        <v>2</v>
      </c>
      <c r="K49" s="3">
        <v>0</v>
      </c>
      <c r="L49" s="3">
        <v>10</v>
      </c>
      <c r="M49" s="3">
        <v>0</v>
      </c>
      <c r="N49" s="3">
        <f>VLOOKUP(Normalized!A49,'Median Income'!$A$1:$D$69,4,FALSE)</f>
        <v>0</v>
      </c>
    </row>
    <row r="50" spans="1:14" x14ac:dyDescent="0.2">
      <c r="A50" s="4" t="s">
        <v>61</v>
      </c>
      <c r="B50" s="5">
        <v>6.7491054038139242E-3</v>
      </c>
      <c r="C50" s="5">
        <v>4.6062001878844809E-3</v>
      </c>
      <c r="D50" s="5">
        <v>5.517103019360016E-3</v>
      </c>
      <c r="E50" s="5">
        <v>5.2584084984053274E-3</v>
      </c>
      <c r="F50" s="5">
        <v>7.1735750140913554E-3</v>
      </c>
      <c r="G50" s="5">
        <f t="shared" si="0"/>
        <v>4.6062001878844809E-3</v>
      </c>
      <c r="H50" s="5">
        <f t="shared" si="1"/>
        <v>6.7491054038139242E-3</v>
      </c>
      <c r="I50" s="5">
        <v>42097</v>
      </c>
      <c r="J50" s="5">
        <v>4</v>
      </c>
      <c r="K50" s="5">
        <v>1</v>
      </c>
      <c r="L50" s="5">
        <v>51</v>
      </c>
      <c r="M50" s="5">
        <v>1</v>
      </c>
      <c r="N50" s="5">
        <f>VLOOKUP(Normalized!A50,'Median Income'!$A$1:$D$69,4,FALSE)</f>
        <v>1</v>
      </c>
    </row>
    <row r="51" spans="1:14" x14ac:dyDescent="0.2">
      <c r="A51" s="2" t="s">
        <v>62</v>
      </c>
      <c r="B51" s="3">
        <v>2.808352584137338E-3</v>
      </c>
      <c r="C51" s="3">
        <v>2.8182672202187939E-3</v>
      </c>
      <c r="D51" s="3">
        <v>1.1535760858661849E-3</v>
      </c>
      <c r="E51" s="3">
        <v>1.9535903635168688E-3</v>
      </c>
      <c r="F51" s="3">
        <v>3.6002729931446831E-3</v>
      </c>
      <c r="G51" s="3">
        <f t="shared" si="0"/>
        <v>1.1535760858661849E-3</v>
      </c>
      <c r="H51" s="3">
        <f t="shared" si="1"/>
        <v>2.8182672202187939E-3</v>
      </c>
      <c r="I51" s="3">
        <v>42099</v>
      </c>
      <c r="J51" s="3">
        <v>2</v>
      </c>
      <c r="K51" s="3">
        <v>0</v>
      </c>
      <c r="L51" s="3">
        <v>32</v>
      </c>
      <c r="M51" s="3">
        <v>0</v>
      </c>
      <c r="N51" s="3">
        <f>VLOOKUP(Normalized!A51,'Median Income'!$A$1:$D$69,4,FALSE)</f>
        <v>0</v>
      </c>
    </row>
    <row r="52" spans="1:14" x14ac:dyDescent="0.2">
      <c r="A52" s="2" t="s">
        <v>63</v>
      </c>
      <c r="B52" s="3">
        <v>0.19545228065407441</v>
      </c>
      <c r="C52" s="3">
        <v>0.2898875723506773</v>
      </c>
      <c r="D52" s="3">
        <v>0.25283378473267132</v>
      </c>
      <c r="E52" s="3">
        <v>0.22366047238197631</v>
      </c>
      <c r="F52" s="3">
        <v>0.12344692151759799</v>
      </c>
      <c r="G52" s="3">
        <f t="shared" si="0"/>
        <v>0.19545228065407441</v>
      </c>
      <c r="H52" s="3">
        <f t="shared" si="1"/>
        <v>0.2898875723506773</v>
      </c>
      <c r="I52" s="3">
        <v>42101</v>
      </c>
      <c r="J52" s="3">
        <v>1</v>
      </c>
      <c r="K52" s="3">
        <v>0</v>
      </c>
      <c r="L52" s="3">
        <v>66</v>
      </c>
      <c r="M52" s="3">
        <v>1</v>
      </c>
      <c r="N52" s="3">
        <f>VLOOKUP(Normalized!A52,'Median Income'!$A$1:$D$69,4,FALSE)</f>
        <v>1</v>
      </c>
    </row>
    <row r="53" spans="1:14" x14ac:dyDescent="0.2">
      <c r="A53" s="4" t="s">
        <v>64</v>
      </c>
      <c r="B53" s="5">
        <v>4.0766408479412956E-3</v>
      </c>
      <c r="C53" s="5">
        <v>1.6061092760386679E-3</v>
      </c>
      <c r="D53" s="5">
        <v>9.5295415788945737E-4</v>
      </c>
      <c r="E53" s="5">
        <v>3.4135149033621029E-3</v>
      </c>
      <c r="F53" s="5">
        <v>4.3351342646266713E-3</v>
      </c>
      <c r="G53" s="5">
        <f t="shared" si="0"/>
        <v>9.5295415788945737E-4</v>
      </c>
      <c r="H53" s="5">
        <f t="shared" si="1"/>
        <v>4.0766408479412956E-3</v>
      </c>
      <c r="I53" s="5">
        <v>42103</v>
      </c>
      <c r="J53" s="5">
        <v>6</v>
      </c>
      <c r="K53" s="5">
        <v>1</v>
      </c>
      <c r="L53" s="5">
        <v>27</v>
      </c>
      <c r="M53" s="5">
        <v>0</v>
      </c>
      <c r="N53" s="5">
        <f>VLOOKUP(Normalized!A53,'Median Income'!$A$1:$D$69,4,FALSE)</f>
        <v>0</v>
      </c>
    </row>
    <row r="54" spans="1:14" x14ac:dyDescent="0.2">
      <c r="A54" s="4" t="s">
        <v>65</v>
      </c>
      <c r="B54" s="5">
        <v>6.3414413190197947E-4</v>
      </c>
      <c r="C54" s="5">
        <v>1.212157944180127E-3</v>
      </c>
      <c r="D54" s="5">
        <v>1.504664459825459E-4</v>
      </c>
      <c r="E54" s="5">
        <v>7.1595193219415926E-4</v>
      </c>
      <c r="F54" s="5">
        <v>1.3138381413325851E-3</v>
      </c>
      <c r="G54" s="5">
        <f t="shared" si="0"/>
        <v>1.504664459825459E-4</v>
      </c>
      <c r="H54" s="5">
        <f t="shared" si="1"/>
        <v>1.212157944180127E-3</v>
      </c>
      <c r="I54" s="5">
        <v>42105</v>
      </c>
      <c r="J54" s="5">
        <v>9</v>
      </c>
      <c r="K54" s="5">
        <v>1</v>
      </c>
      <c r="L54" s="5">
        <v>62</v>
      </c>
      <c r="M54" s="5">
        <v>1</v>
      </c>
      <c r="N54" s="5">
        <f>VLOOKUP(Normalized!A54,'Median Income'!$A$1:$D$69,4,FALSE)</f>
        <v>1</v>
      </c>
    </row>
    <row r="55" spans="1:14" x14ac:dyDescent="0.2">
      <c r="A55" s="4" t="s">
        <v>66</v>
      </c>
      <c r="B55" s="5">
        <v>1.078045024233365E-2</v>
      </c>
      <c r="C55" s="5">
        <v>9.0911845813509504E-3</v>
      </c>
      <c r="D55" s="5">
        <v>1.0281873808807299E-2</v>
      </c>
      <c r="E55" s="5">
        <v>8.3672135612215138E-3</v>
      </c>
      <c r="F55" s="5">
        <v>1.115378691993843E-2</v>
      </c>
      <c r="G55" s="5">
        <f t="shared" si="0"/>
        <v>8.3672135612215138E-3</v>
      </c>
      <c r="H55" s="5">
        <f t="shared" si="1"/>
        <v>1.078045024233365E-2</v>
      </c>
      <c r="I55" s="5">
        <v>42107</v>
      </c>
      <c r="J55" s="5">
        <v>4</v>
      </c>
      <c r="K55" s="5">
        <v>1</v>
      </c>
      <c r="L55" s="5">
        <v>60</v>
      </c>
      <c r="M55" s="5">
        <v>1</v>
      </c>
      <c r="N55" s="5">
        <f>VLOOKUP(Normalized!A55,'Median Income'!$A$1:$D$69,4,FALSE)</f>
        <v>0</v>
      </c>
    </row>
    <row r="56" spans="1:14" x14ac:dyDescent="0.2">
      <c r="A56" s="4" t="s">
        <v>67</v>
      </c>
      <c r="B56" s="5">
        <v>1.404176292068669E-3</v>
      </c>
      <c r="C56" s="5">
        <v>1.3333737385981389E-3</v>
      </c>
      <c r="D56" s="5">
        <v>6.5202126592436556E-4</v>
      </c>
      <c r="E56" s="5">
        <v>6.6166656811169646E-4</v>
      </c>
      <c r="F56" s="5">
        <v>3.1648286014261001E-3</v>
      </c>
      <c r="G56" s="5">
        <f t="shared" si="0"/>
        <v>6.5202126592436556E-4</v>
      </c>
      <c r="H56" s="5">
        <f t="shared" si="1"/>
        <v>1.404176292068669E-3</v>
      </c>
      <c r="I56" s="5">
        <v>42109</v>
      </c>
      <c r="J56" s="5">
        <v>7</v>
      </c>
      <c r="K56" s="5">
        <v>1</v>
      </c>
      <c r="L56" s="5">
        <v>21</v>
      </c>
      <c r="M56" s="5">
        <v>0</v>
      </c>
      <c r="N56" s="5">
        <f>VLOOKUP(Normalized!A56,'Median Income'!$A$1:$D$69,4,FALSE)</f>
        <v>0</v>
      </c>
    </row>
    <row r="57" spans="1:14" x14ac:dyDescent="0.2">
      <c r="A57" s="4" t="s">
        <v>68</v>
      </c>
      <c r="B57" s="5">
        <v>5.1637450740589751E-3</v>
      </c>
      <c r="C57" s="5">
        <v>2.212188248128731E-3</v>
      </c>
      <c r="D57" s="5">
        <v>4.9152372354298321E-3</v>
      </c>
      <c r="E57" s="5">
        <v>3.8076617757510701E-3</v>
      </c>
      <c r="F57" s="5">
        <v>5.81329989453959E-3</v>
      </c>
      <c r="G57" s="5">
        <f t="shared" si="0"/>
        <v>2.212188248128731E-3</v>
      </c>
      <c r="H57" s="5">
        <f t="shared" si="1"/>
        <v>5.1637450740589751E-3</v>
      </c>
      <c r="I57" s="5">
        <v>42111</v>
      </c>
      <c r="J57" s="5">
        <v>6</v>
      </c>
      <c r="K57" s="5">
        <v>1</v>
      </c>
      <c r="L57" s="5">
        <v>52</v>
      </c>
      <c r="M57" s="5">
        <v>1</v>
      </c>
      <c r="N57" s="5">
        <f>VLOOKUP(Normalized!A57,'Median Income'!$A$1:$D$69,4,FALSE)</f>
        <v>1</v>
      </c>
    </row>
    <row r="58" spans="1:14" x14ac:dyDescent="0.2">
      <c r="A58" s="4" t="s">
        <v>69</v>
      </c>
      <c r="B58" s="5">
        <v>4.0766408479412958E-4</v>
      </c>
      <c r="C58" s="5">
        <v>1.212157944180127E-3</v>
      </c>
      <c r="D58" s="5">
        <v>2.0062192797672791E-4</v>
      </c>
      <c r="E58" s="5">
        <v>2.7785083304676249E-4</v>
      </c>
      <c r="F58" s="5">
        <v>4.796142447385106E-4</v>
      </c>
      <c r="G58" s="5">
        <f t="shared" si="0"/>
        <v>2.0062192797672791E-4</v>
      </c>
      <c r="H58" s="5">
        <f t="shared" si="1"/>
        <v>1.212157944180127E-3</v>
      </c>
      <c r="I58" s="5">
        <v>42113</v>
      </c>
      <c r="J58" s="5">
        <v>8</v>
      </c>
      <c r="K58" s="5">
        <v>1</v>
      </c>
      <c r="L58" s="5">
        <v>50</v>
      </c>
      <c r="M58" s="5">
        <v>1</v>
      </c>
      <c r="N58" s="5">
        <f>VLOOKUP(Normalized!A58,'Median Income'!$A$1:$D$69,4,FALSE)</f>
        <v>0</v>
      </c>
    </row>
    <row r="59" spans="1:14" x14ac:dyDescent="0.2">
      <c r="A59" s="4" t="s">
        <v>70</v>
      </c>
      <c r="B59" s="5">
        <v>2.2195044616569281E-3</v>
      </c>
      <c r="C59" s="5">
        <v>1.212157944180127E-3</v>
      </c>
      <c r="D59" s="5">
        <v>1.755441869796369E-3</v>
      </c>
      <c r="E59" s="5">
        <v>8.6943001626801008E-4</v>
      </c>
      <c r="F59" s="5">
        <v>3.202900669427348E-3</v>
      </c>
      <c r="G59" s="5">
        <f t="shared" si="0"/>
        <v>8.6943001626801008E-4</v>
      </c>
      <c r="H59" s="5">
        <f t="shared" si="1"/>
        <v>2.2195044616569281E-3</v>
      </c>
      <c r="I59" s="5">
        <v>42115</v>
      </c>
      <c r="J59" s="5">
        <v>8</v>
      </c>
      <c r="K59" s="5">
        <v>1</v>
      </c>
      <c r="L59" s="5">
        <v>33</v>
      </c>
      <c r="M59" s="5">
        <v>0</v>
      </c>
      <c r="N59" s="5">
        <f>VLOOKUP(Normalized!A59,'Median Income'!$A$1:$D$69,4,FALSE)</f>
        <v>0</v>
      </c>
    </row>
    <row r="60" spans="1:14" x14ac:dyDescent="0.2">
      <c r="A60" s="4" t="s">
        <v>71</v>
      </c>
      <c r="B60" s="5">
        <v>1.5853603297549489E-3</v>
      </c>
      <c r="C60" s="5">
        <v>1.272765841389133E-3</v>
      </c>
      <c r="D60" s="5">
        <v>1.9059083157789149E-3</v>
      </c>
      <c r="E60" s="5">
        <v>1.0967286491631739E-3</v>
      </c>
      <c r="F60" s="5">
        <v>3.2008680744211211E-3</v>
      </c>
      <c r="G60" s="5">
        <f t="shared" si="0"/>
        <v>1.0967286491631739E-3</v>
      </c>
      <c r="H60" s="5">
        <f t="shared" si="1"/>
        <v>1.9059083157789149E-3</v>
      </c>
      <c r="I60" s="5">
        <v>42117</v>
      </c>
      <c r="J60" s="5">
        <v>8</v>
      </c>
      <c r="K60" s="5">
        <v>1</v>
      </c>
      <c r="L60" s="5">
        <v>31</v>
      </c>
      <c r="M60" s="5">
        <v>0</v>
      </c>
      <c r="N60" s="5">
        <f>VLOOKUP(Normalized!A60,'Median Income'!$A$1:$D$69,4,FALSE)</f>
        <v>1</v>
      </c>
    </row>
    <row r="61" spans="1:14" x14ac:dyDescent="0.2">
      <c r="A61" s="4" t="s">
        <v>72</v>
      </c>
      <c r="B61" s="5">
        <v>9.5121619785296921E-4</v>
      </c>
      <c r="C61" s="5">
        <v>1.212157944180127E-3</v>
      </c>
      <c r="D61" s="5">
        <v>5.015548199418196E-4</v>
      </c>
      <c r="E61" s="5">
        <v>5.0317275758453035E-4</v>
      </c>
      <c r="F61" s="5">
        <v>3.526630512534466E-3</v>
      </c>
      <c r="G61" s="5">
        <f t="shared" si="0"/>
        <v>5.015548199418196E-4</v>
      </c>
      <c r="H61" s="5">
        <f t="shared" si="1"/>
        <v>1.212157944180127E-3</v>
      </c>
      <c r="I61" s="5">
        <v>42119</v>
      </c>
      <c r="J61" s="5">
        <v>6</v>
      </c>
      <c r="K61" s="5">
        <v>1</v>
      </c>
      <c r="L61" s="5">
        <v>8</v>
      </c>
      <c r="M61" s="5">
        <v>0</v>
      </c>
      <c r="N61" s="5">
        <f>VLOOKUP(Normalized!A61,'Median Income'!$A$1:$D$69,4,FALSE)</f>
        <v>0</v>
      </c>
    </row>
    <row r="62" spans="1:14" x14ac:dyDescent="0.2">
      <c r="A62" s="4" t="s">
        <v>73</v>
      </c>
      <c r="B62" s="5">
        <v>2.4006884993432081E-3</v>
      </c>
      <c r="C62" s="5">
        <v>3.5758659353313741E-3</v>
      </c>
      <c r="D62" s="5">
        <v>5.4167920553716518E-3</v>
      </c>
      <c r="E62" s="5">
        <v>2.992761536962707E-3</v>
      </c>
      <c r="F62" s="5">
        <v>4.0509618474099656E-3</v>
      </c>
      <c r="G62" s="5">
        <f t="shared" si="0"/>
        <v>2.4006884993432081E-3</v>
      </c>
      <c r="H62" s="5">
        <f t="shared" si="1"/>
        <v>5.4167920553716518E-3</v>
      </c>
      <c r="I62" s="5">
        <v>42121</v>
      </c>
      <c r="J62" s="5">
        <v>4</v>
      </c>
      <c r="K62" s="5">
        <v>1</v>
      </c>
      <c r="L62" s="5">
        <v>54</v>
      </c>
      <c r="M62" s="5">
        <v>1</v>
      </c>
      <c r="N62" s="5">
        <f>VLOOKUP(Normalized!A62,'Median Income'!$A$1:$D$69,4,FALSE)</f>
        <v>1</v>
      </c>
    </row>
    <row r="63" spans="1:14" x14ac:dyDescent="0.2">
      <c r="A63" s="4" t="s">
        <v>74</v>
      </c>
      <c r="B63" s="5">
        <v>1.087104226117679E-3</v>
      </c>
      <c r="C63" s="5">
        <v>2.9091790660323042E-3</v>
      </c>
      <c r="D63" s="5">
        <v>2.507774099709098E-4</v>
      </c>
      <c r="E63" s="5">
        <v>1.6266643522996271E-3</v>
      </c>
      <c r="F63" s="5">
        <v>3.1079941179827592E-3</v>
      </c>
      <c r="G63" s="5">
        <f t="shared" si="0"/>
        <v>2.507774099709098E-4</v>
      </c>
      <c r="H63" s="5">
        <f t="shared" si="1"/>
        <v>2.9091790660323042E-3</v>
      </c>
      <c r="I63" s="5">
        <v>42123</v>
      </c>
      <c r="J63" s="5">
        <v>6</v>
      </c>
      <c r="K63" s="5">
        <v>1</v>
      </c>
      <c r="L63" s="5">
        <v>29</v>
      </c>
      <c r="M63" s="5">
        <v>0</v>
      </c>
      <c r="N63" s="5">
        <f>VLOOKUP(Normalized!A63,'Median Income'!$A$1:$D$69,4,FALSE)</f>
        <v>1</v>
      </c>
    </row>
    <row r="64" spans="1:14" x14ac:dyDescent="0.2">
      <c r="A64" s="2" t="s">
        <v>75</v>
      </c>
      <c r="B64" s="3">
        <v>2.0247316211441772E-2</v>
      </c>
      <c r="C64" s="3">
        <v>1.0818509651807629E-2</v>
      </c>
      <c r="D64" s="3">
        <v>1.8758150265824051E-2</v>
      </c>
      <c r="E64" s="3">
        <v>1.2284310465326661E-2</v>
      </c>
      <c r="F64" s="3">
        <v>1.619915678577934E-2</v>
      </c>
      <c r="G64" s="3">
        <f t="shared" si="0"/>
        <v>1.0818509651807629E-2</v>
      </c>
      <c r="H64" s="3">
        <f t="shared" si="1"/>
        <v>2.0247316211441772E-2</v>
      </c>
      <c r="I64" s="3">
        <v>42125</v>
      </c>
      <c r="J64" s="3">
        <v>1</v>
      </c>
      <c r="K64" s="3">
        <v>0</v>
      </c>
      <c r="L64" s="3">
        <v>15</v>
      </c>
      <c r="M64" s="3">
        <v>0</v>
      </c>
      <c r="N64" s="3">
        <f>VLOOKUP(Normalized!A64,'Median Income'!$A$1:$D$69,4,FALSE)</f>
        <v>0</v>
      </c>
    </row>
    <row r="65" spans="1:14" x14ac:dyDescent="0.2">
      <c r="A65" s="4" t="s">
        <v>76</v>
      </c>
      <c r="B65" s="5">
        <v>3.850160800833446E-3</v>
      </c>
      <c r="C65" s="5">
        <v>1.212157944180127E-3</v>
      </c>
      <c r="D65" s="5">
        <v>3.6613501855752829E-3</v>
      </c>
      <c r="E65" s="5">
        <v>3.1673707140229602E-3</v>
      </c>
      <c r="F65" s="5">
        <v>4.0200038619305116E-3</v>
      </c>
      <c r="G65" s="5">
        <f t="shared" si="0"/>
        <v>1.212157944180127E-3</v>
      </c>
      <c r="H65" s="5">
        <f t="shared" si="1"/>
        <v>3.850160800833446E-3</v>
      </c>
      <c r="I65" s="5">
        <v>42127</v>
      </c>
      <c r="J65" s="5">
        <v>6</v>
      </c>
      <c r="K65" s="5">
        <v>1</v>
      </c>
      <c r="L65" s="5">
        <v>39</v>
      </c>
      <c r="M65" s="5">
        <v>1</v>
      </c>
      <c r="N65" s="5">
        <f>VLOOKUP(Normalized!A65,'Median Income'!$A$1:$D$69,4,FALSE)</f>
        <v>1</v>
      </c>
    </row>
    <row r="66" spans="1:14" x14ac:dyDescent="0.2">
      <c r="A66" s="2" t="s">
        <v>77</v>
      </c>
      <c r="B66" s="3">
        <v>3.6916247678579518E-2</v>
      </c>
      <c r="C66" s="3">
        <v>2.19703627382648E-2</v>
      </c>
      <c r="D66" s="3">
        <v>3.5158992877921548E-2</v>
      </c>
      <c r="E66" s="3">
        <v>3.0404209217553581E-2</v>
      </c>
      <c r="F66" s="3">
        <v>2.7564333586365349E-2</v>
      </c>
      <c r="G66" s="3">
        <f t="shared" si="0"/>
        <v>2.19703627382648E-2</v>
      </c>
      <c r="H66" s="3">
        <f t="shared" si="1"/>
        <v>3.6916247678579518E-2</v>
      </c>
      <c r="I66" s="3">
        <v>42129</v>
      </c>
      <c r="J66" s="3">
        <v>1</v>
      </c>
      <c r="K66" s="3">
        <v>0</v>
      </c>
      <c r="L66" s="3">
        <v>14</v>
      </c>
      <c r="M66" s="3">
        <v>0</v>
      </c>
      <c r="N66" s="3">
        <f>VLOOKUP(Normalized!A66,'Median Income'!$A$1:$D$69,4,FALSE)</f>
        <v>0</v>
      </c>
    </row>
    <row r="67" spans="1:14" x14ac:dyDescent="0.2">
      <c r="A67" s="2" t="s">
        <v>78</v>
      </c>
      <c r="B67" s="3">
        <v>2.7177605652941978E-3</v>
      </c>
      <c r="C67" s="3">
        <v>1.212157944180127E-3</v>
      </c>
      <c r="D67" s="3">
        <v>1.755441869796369E-3</v>
      </c>
      <c r="E67" s="3">
        <v>1.814821928569505E-3</v>
      </c>
      <c r="F67" s="3">
        <v>2.136335528275351E-3</v>
      </c>
      <c r="G67" s="3">
        <f t="shared" ref="G67:G68" si="2">MIN(B67:E67)</f>
        <v>1.212157944180127E-3</v>
      </c>
      <c r="H67" s="3">
        <f t="shared" ref="H67:H68" si="3">MAX(B67:E67)</f>
        <v>2.7177605652941978E-3</v>
      </c>
      <c r="I67" s="3">
        <v>42131</v>
      </c>
      <c r="J67" s="3">
        <v>2</v>
      </c>
      <c r="K67" s="3">
        <v>0</v>
      </c>
      <c r="L67" s="3">
        <v>28</v>
      </c>
      <c r="M67" s="3">
        <v>0</v>
      </c>
      <c r="N67" s="3">
        <f>VLOOKUP(Normalized!A67,'Median Income'!$A$1:$D$69,4,FALSE)</f>
        <v>0</v>
      </c>
    </row>
    <row r="68" spans="1:14" x14ac:dyDescent="0.2">
      <c r="A68" s="2" t="s">
        <v>79</v>
      </c>
      <c r="B68" s="3">
        <v>2.7041717624677261E-2</v>
      </c>
      <c r="C68" s="3">
        <v>2.9152398557532051E-2</v>
      </c>
      <c r="D68" s="3">
        <v>2.883940214665463E-2</v>
      </c>
      <c r="E68" s="3">
        <v>1.6494279114585661E-2</v>
      </c>
      <c r="F68" s="3">
        <v>3.48328151519013E-2</v>
      </c>
      <c r="G68" s="3">
        <f t="shared" si="2"/>
        <v>1.6494279114585661E-2</v>
      </c>
      <c r="H68" s="3">
        <f t="shared" si="3"/>
        <v>2.9152398557532051E-2</v>
      </c>
      <c r="I68" s="3">
        <v>42133</v>
      </c>
      <c r="J68" s="3">
        <v>2</v>
      </c>
      <c r="K68" s="3">
        <v>0</v>
      </c>
      <c r="L68" s="3">
        <v>16</v>
      </c>
      <c r="M68" s="3">
        <v>0</v>
      </c>
      <c r="N68" s="3">
        <f>VLOOKUP(Normalized!A68,'Median Income'!$A$1:$D$69,4,FALSE)</f>
        <v>0</v>
      </c>
    </row>
  </sheetData>
  <autoFilter ref="A1:M68" xr:uid="{C0AC5264-96C1-4C90-9B95-441F045FF748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EF9A-7443-6243-8E05-0EC71796A745}">
  <dimension ref="A1:F69"/>
  <sheetViews>
    <sheetView workbookViewId="0">
      <selection activeCell="E17" sqref="E17"/>
    </sheetView>
  </sheetViews>
  <sheetFormatPr baseColWidth="10" defaultRowHeight="15" x14ac:dyDescent="0.2"/>
  <cols>
    <col min="1" max="1" width="13.6640625" customWidth="1"/>
  </cols>
  <sheetData>
    <row r="1" spans="1:4" x14ac:dyDescent="0.2">
      <c r="A1" s="13" t="s">
        <v>0</v>
      </c>
      <c r="B1" s="14" t="s">
        <v>8</v>
      </c>
      <c r="C1" s="14" t="s">
        <v>91</v>
      </c>
      <c r="D1" t="s">
        <v>93</v>
      </c>
    </row>
    <row r="2" spans="1:4" x14ac:dyDescent="0.2">
      <c r="A2" s="17" t="s">
        <v>92</v>
      </c>
      <c r="B2" s="18">
        <v>42000</v>
      </c>
      <c r="C2" s="19">
        <f>MEDIAN(C3:C69)</f>
        <v>64758</v>
      </c>
    </row>
    <row r="3" spans="1:4" x14ac:dyDescent="0.2">
      <c r="A3" s="13" t="s">
        <v>24</v>
      </c>
      <c r="B3" s="14">
        <v>42023</v>
      </c>
      <c r="C3" s="16">
        <v>47681</v>
      </c>
      <c r="D3">
        <f>IF(C3&lt;$C$2,1,0)</f>
        <v>1</v>
      </c>
    </row>
    <row r="4" spans="1:4" x14ac:dyDescent="0.2">
      <c r="A4" s="13" t="s">
        <v>39</v>
      </c>
      <c r="B4" s="14">
        <v>42053</v>
      </c>
      <c r="C4" s="16">
        <v>50061</v>
      </c>
      <c r="D4">
        <f t="shared" ref="D4:D67" si="0">IF(C4&lt;$C$2,1,0)</f>
        <v>1</v>
      </c>
    </row>
    <row r="5" spans="1:4" x14ac:dyDescent="0.2">
      <c r="A5" s="13" t="s">
        <v>38</v>
      </c>
      <c r="B5" s="14">
        <v>42051</v>
      </c>
      <c r="C5" s="16">
        <v>56093</v>
      </c>
      <c r="D5">
        <f t="shared" si="0"/>
        <v>1</v>
      </c>
    </row>
    <row r="6" spans="1:4" x14ac:dyDescent="0.2">
      <c r="A6" s="13" t="s">
        <v>23</v>
      </c>
      <c r="B6" s="14">
        <v>42021</v>
      </c>
      <c r="C6" s="16">
        <v>56292</v>
      </c>
      <c r="D6">
        <f t="shared" si="0"/>
        <v>1</v>
      </c>
    </row>
    <row r="7" spans="1:4" x14ac:dyDescent="0.2">
      <c r="A7" s="13" t="s">
        <v>45</v>
      </c>
      <c r="B7" s="14">
        <v>42065</v>
      </c>
      <c r="C7" s="16">
        <v>56898</v>
      </c>
      <c r="D7">
        <f t="shared" si="0"/>
        <v>1</v>
      </c>
    </row>
    <row r="8" spans="1:4" x14ac:dyDescent="0.2">
      <c r="A8" s="13" t="s">
        <v>61</v>
      </c>
      <c r="B8" s="14">
        <v>42097</v>
      </c>
      <c r="C8" s="16">
        <v>57948</v>
      </c>
      <c r="D8">
        <f t="shared" si="0"/>
        <v>1</v>
      </c>
    </row>
    <row r="9" spans="1:4" x14ac:dyDescent="0.2">
      <c r="A9" s="13" t="s">
        <v>44</v>
      </c>
      <c r="B9" s="14">
        <v>42063</v>
      </c>
      <c r="C9" s="16">
        <v>58739</v>
      </c>
      <c r="D9">
        <f t="shared" si="0"/>
        <v>1</v>
      </c>
    </row>
    <row r="10" spans="1:4" x14ac:dyDescent="0.2">
      <c r="A10" s="13" t="s">
        <v>30</v>
      </c>
      <c r="B10" s="14">
        <v>42035</v>
      </c>
      <c r="C10" s="16">
        <v>58842</v>
      </c>
      <c r="D10">
        <f t="shared" si="0"/>
        <v>1</v>
      </c>
    </row>
    <row r="11" spans="1:4" x14ac:dyDescent="0.2">
      <c r="A11" s="13" t="s">
        <v>74</v>
      </c>
      <c r="B11" s="14">
        <v>42123</v>
      </c>
      <c r="C11" s="16">
        <v>59013</v>
      </c>
      <c r="D11">
        <f t="shared" si="0"/>
        <v>1</v>
      </c>
    </row>
    <row r="12" spans="1:4" x14ac:dyDescent="0.2">
      <c r="A12" s="13" t="s">
        <v>68</v>
      </c>
      <c r="B12" s="14">
        <v>42111</v>
      </c>
      <c r="C12" s="16">
        <v>59378</v>
      </c>
      <c r="D12">
        <f t="shared" si="0"/>
        <v>1</v>
      </c>
    </row>
    <row r="13" spans="1:4" x14ac:dyDescent="0.2">
      <c r="A13" s="13" t="s">
        <v>65</v>
      </c>
      <c r="B13" s="14">
        <v>42105</v>
      </c>
      <c r="C13" s="16">
        <v>59840</v>
      </c>
      <c r="D13">
        <f t="shared" si="0"/>
        <v>1</v>
      </c>
    </row>
    <row r="14" spans="1:4" x14ac:dyDescent="0.2">
      <c r="A14" s="13" t="s">
        <v>29</v>
      </c>
      <c r="B14" s="14">
        <v>42033</v>
      </c>
      <c r="C14" s="16">
        <v>60181</v>
      </c>
      <c r="D14">
        <f t="shared" si="0"/>
        <v>1</v>
      </c>
    </row>
    <row r="15" spans="1:4" x14ac:dyDescent="0.2">
      <c r="A15" s="13" t="s">
        <v>32</v>
      </c>
      <c r="B15" s="14">
        <v>42039</v>
      </c>
      <c r="C15" s="16">
        <v>60254</v>
      </c>
      <c r="D15">
        <f t="shared" si="0"/>
        <v>1</v>
      </c>
    </row>
    <row r="16" spans="1:4" x14ac:dyDescent="0.2">
      <c r="A16" s="13" t="s">
        <v>17</v>
      </c>
      <c r="B16" s="14">
        <v>42009</v>
      </c>
      <c r="C16" s="16">
        <v>60302</v>
      </c>
      <c r="D16">
        <f t="shared" si="0"/>
        <v>1</v>
      </c>
    </row>
    <row r="17" spans="1:6" x14ac:dyDescent="0.2">
      <c r="A17" s="13" t="s">
        <v>19</v>
      </c>
      <c r="B17" s="14">
        <v>42013</v>
      </c>
      <c r="C17" s="16">
        <v>60594</v>
      </c>
      <c r="D17">
        <f t="shared" si="0"/>
        <v>1</v>
      </c>
    </row>
    <row r="18" spans="1:6" x14ac:dyDescent="0.2">
      <c r="A18" s="13" t="s">
        <v>55</v>
      </c>
      <c r="B18" s="14">
        <v>42085</v>
      </c>
      <c r="C18" s="16">
        <v>60614</v>
      </c>
      <c r="D18">
        <f t="shared" si="0"/>
        <v>1</v>
      </c>
    </row>
    <row r="19" spans="1:6" x14ac:dyDescent="0.2">
      <c r="A19" s="13" t="s">
        <v>28</v>
      </c>
      <c r="B19" s="14">
        <v>42031</v>
      </c>
      <c r="C19" s="16">
        <v>60668</v>
      </c>
      <c r="D19">
        <f t="shared" si="0"/>
        <v>1</v>
      </c>
    </row>
    <row r="20" spans="1:6" x14ac:dyDescent="0.2">
      <c r="A20" s="13" t="s">
        <v>63</v>
      </c>
      <c r="B20" s="14">
        <v>42101</v>
      </c>
      <c r="C20" s="16">
        <v>60698</v>
      </c>
      <c r="D20">
        <f t="shared" si="0"/>
        <v>1</v>
      </c>
      <c r="F20" s="15"/>
    </row>
    <row r="21" spans="1:6" x14ac:dyDescent="0.2">
      <c r="A21" s="13" t="s">
        <v>49</v>
      </c>
      <c r="B21" s="14">
        <v>42073</v>
      </c>
      <c r="C21" s="16">
        <v>60779</v>
      </c>
      <c r="D21">
        <f t="shared" si="0"/>
        <v>1</v>
      </c>
    </row>
    <row r="22" spans="1:6" x14ac:dyDescent="0.2">
      <c r="A22" s="13" t="s">
        <v>56</v>
      </c>
      <c r="B22" s="14">
        <v>42087</v>
      </c>
      <c r="C22" s="16">
        <v>61415</v>
      </c>
      <c r="D22">
        <f t="shared" si="0"/>
        <v>1</v>
      </c>
    </row>
    <row r="23" spans="1:6" x14ac:dyDescent="0.2">
      <c r="A23" s="13" t="s">
        <v>37</v>
      </c>
      <c r="B23" s="14">
        <v>42049</v>
      </c>
      <c r="C23" s="16">
        <v>61476</v>
      </c>
      <c r="D23">
        <f t="shared" si="0"/>
        <v>1</v>
      </c>
    </row>
    <row r="24" spans="1:6" x14ac:dyDescent="0.2">
      <c r="A24" s="13" t="s">
        <v>73</v>
      </c>
      <c r="B24" s="14">
        <v>42121</v>
      </c>
      <c r="C24" s="16">
        <v>61626</v>
      </c>
      <c r="D24">
        <f t="shared" si="0"/>
        <v>1</v>
      </c>
    </row>
    <row r="25" spans="1:6" x14ac:dyDescent="0.2">
      <c r="A25" s="13" t="s">
        <v>54</v>
      </c>
      <c r="B25" s="14">
        <v>42083</v>
      </c>
      <c r="C25" s="16">
        <v>61705</v>
      </c>
      <c r="D25">
        <f t="shared" si="0"/>
        <v>1</v>
      </c>
    </row>
    <row r="26" spans="1:6" x14ac:dyDescent="0.2">
      <c r="A26" s="13" t="s">
        <v>31</v>
      </c>
      <c r="B26" s="14">
        <v>42037</v>
      </c>
      <c r="C26" s="16">
        <v>61992</v>
      </c>
      <c r="D26">
        <f t="shared" si="0"/>
        <v>1</v>
      </c>
    </row>
    <row r="27" spans="1:6" x14ac:dyDescent="0.2">
      <c r="A27" s="13" t="s">
        <v>76</v>
      </c>
      <c r="B27" s="14">
        <v>42127</v>
      </c>
      <c r="C27" s="16">
        <v>62182</v>
      </c>
      <c r="D27">
        <f t="shared" si="0"/>
        <v>1</v>
      </c>
    </row>
    <row r="28" spans="1:6" x14ac:dyDescent="0.2">
      <c r="A28" s="13" t="s">
        <v>52</v>
      </c>
      <c r="B28" s="14">
        <v>42079</v>
      </c>
      <c r="C28" s="16">
        <v>62321</v>
      </c>
      <c r="D28">
        <f t="shared" si="0"/>
        <v>1</v>
      </c>
    </row>
    <row r="29" spans="1:6" x14ac:dyDescent="0.2">
      <c r="A29" s="13" t="s">
        <v>20</v>
      </c>
      <c r="B29" s="14">
        <v>42015</v>
      </c>
      <c r="C29" s="16">
        <v>62482</v>
      </c>
      <c r="D29">
        <f t="shared" si="0"/>
        <v>1</v>
      </c>
    </row>
    <row r="30" spans="1:6" x14ac:dyDescent="0.2">
      <c r="A30" s="13" t="s">
        <v>71</v>
      </c>
      <c r="B30" s="14">
        <v>42117</v>
      </c>
      <c r="C30" s="16">
        <v>62932</v>
      </c>
      <c r="D30">
        <f t="shared" si="0"/>
        <v>1</v>
      </c>
    </row>
    <row r="31" spans="1:6" x14ac:dyDescent="0.2">
      <c r="A31" s="13" t="s">
        <v>46</v>
      </c>
      <c r="B31" s="14">
        <v>42067</v>
      </c>
      <c r="C31" s="16">
        <v>63923</v>
      </c>
      <c r="D31">
        <f t="shared" si="0"/>
        <v>1</v>
      </c>
    </row>
    <row r="32" spans="1:6" x14ac:dyDescent="0.2">
      <c r="A32" s="13" t="s">
        <v>36</v>
      </c>
      <c r="B32" s="14">
        <v>42047</v>
      </c>
      <c r="C32" s="16">
        <v>64103</v>
      </c>
      <c r="D32">
        <f t="shared" si="0"/>
        <v>1</v>
      </c>
    </row>
    <row r="33" spans="1:4" x14ac:dyDescent="0.2">
      <c r="A33" s="13" t="s">
        <v>15</v>
      </c>
      <c r="B33" s="14">
        <v>42005</v>
      </c>
      <c r="C33" s="16">
        <v>64295</v>
      </c>
      <c r="D33">
        <f t="shared" si="0"/>
        <v>1</v>
      </c>
    </row>
    <row r="34" spans="1:4" x14ac:dyDescent="0.2">
      <c r="A34" s="13" t="s">
        <v>53</v>
      </c>
      <c r="B34" s="14">
        <v>42081</v>
      </c>
      <c r="C34" s="16">
        <v>64412</v>
      </c>
      <c r="D34">
        <f t="shared" si="0"/>
        <v>1</v>
      </c>
    </row>
    <row r="35" spans="1:4" x14ac:dyDescent="0.2">
      <c r="A35" s="13" t="s">
        <v>47</v>
      </c>
      <c r="B35" s="14">
        <v>42069</v>
      </c>
      <c r="C35" s="16">
        <v>64691</v>
      </c>
      <c r="D35">
        <f t="shared" si="0"/>
        <v>1</v>
      </c>
    </row>
    <row r="36" spans="1:4" x14ac:dyDescent="0.2">
      <c r="A36" s="13" t="s">
        <v>69</v>
      </c>
      <c r="B36" s="14">
        <v>42113</v>
      </c>
      <c r="C36" s="16">
        <v>64758</v>
      </c>
      <c r="D36">
        <f t="shared" si="0"/>
        <v>0</v>
      </c>
    </row>
    <row r="37" spans="1:4" x14ac:dyDescent="0.2">
      <c r="A37" s="13" t="s">
        <v>41</v>
      </c>
      <c r="B37" s="14">
        <v>42057</v>
      </c>
      <c r="C37" s="16">
        <v>64798</v>
      </c>
      <c r="D37">
        <f t="shared" si="0"/>
        <v>0</v>
      </c>
    </row>
    <row r="38" spans="1:4" x14ac:dyDescent="0.2">
      <c r="A38" s="13" t="s">
        <v>43</v>
      </c>
      <c r="B38" s="14">
        <v>42061</v>
      </c>
      <c r="C38" s="16">
        <v>65429</v>
      </c>
      <c r="D38">
        <f t="shared" si="0"/>
        <v>0</v>
      </c>
    </row>
    <row r="39" spans="1:4" x14ac:dyDescent="0.2">
      <c r="A39" s="13" t="s">
        <v>42</v>
      </c>
      <c r="B39" s="14">
        <v>42059</v>
      </c>
      <c r="C39" s="16">
        <v>66870</v>
      </c>
      <c r="D39">
        <f t="shared" si="0"/>
        <v>0</v>
      </c>
    </row>
    <row r="40" spans="1:4" x14ac:dyDescent="0.2">
      <c r="A40" s="13" t="s">
        <v>66</v>
      </c>
      <c r="B40" s="14">
        <v>42107</v>
      </c>
      <c r="C40" s="16">
        <v>66901</v>
      </c>
      <c r="D40">
        <f t="shared" si="0"/>
        <v>0</v>
      </c>
    </row>
    <row r="41" spans="1:4" x14ac:dyDescent="0.2">
      <c r="A41" s="13" t="s">
        <v>70</v>
      </c>
      <c r="B41" s="14">
        <v>42115</v>
      </c>
      <c r="C41" s="16">
        <v>66930</v>
      </c>
      <c r="D41">
        <f t="shared" si="0"/>
        <v>0</v>
      </c>
    </row>
    <row r="42" spans="1:4" x14ac:dyDescent="0.2">
      <c r="A42" s="13" t="s">
        <v>25</v>
      </c>
      <c r="B42" s="14">
        <v>42025</v>
      </c>
      <c r="C42" s="16">
        <v>67877</v>
      </c>
      <c r="D42">
        <f t="shared" si="0"/>
        <v>0</v>
      </c>
    </row>
    <row r="43" spans="1:4" x14ac:dyDescent="0.2">
      <c r="A43" s="13" t="s">
        <v>67</v>
      </c>
      <c r="B43" s="14">
        <v>42109</v>
      </c>
      <c r="C43" s="16">
        <v>68435</v>
      </c>
      <c r="D43">
        <f t="shared" si="0"/>
        <v>0</v>
      </c>
    </row>
    <row r="44" spans="1:4" x14ac:dyDescent="0.2">
      <c r="A44" s="13" t="s">
        <v>16</v>
      </c>
      <c r="B44" s="14">
        <v>42007</v>
      </c>
      <c r="C44" s="16">
        <v>70156</v>
      </c>
      <c r="D44">
        <f t="shared" si="0"/>
        <v>0</v>
      </c>
    </row>
    <row r="45" spans="1:4" x14ac:dyDescent="0.2">
      <c r="A45" s="13" t="s">
        <v>78</v>
      </c>
      <c r="B45" s="14">
        <v>42131</v>
      </c>
      <c r="C45" s="16">
        <v>70268</v>
      </c>
      <c r="D45">
        <f t="shared" si="0"/>
        <v>0</v>
      </c>
    </row>
    <row r="46" spans="1:4" x14ac:dyDescent="0.2">
      <c r="A46" s="13" t="s">
        <v>77</v>
      </c>
      <c r="B46" s="14">
        <v>42129</v>
      </c>
      <c r="C46" s="16">
        <v>72468</v>
      </c>
      <c r="D46">
        <f t="shared" si="0"/>
        <v>0</v>
      </c>
    </row>
    <row r="47" spans="1:4" x14ac:dyDescent="0.2">
      <c r="A47" s="13" t="s">
        <v>26</v>
      </c>
      <c r="B47" s="14">
        <v>42027</v>
      </c>
      <c r="C47" s="16">
        <v>72748</v>
      </c>
      <c r="D47">
        <f t="shared" si="0"/>
        <v>0</v>
      </c>
    </row>
    <row r="48" spans="1:4" x14ac:dyDescent="0.2">
      <c r="A48" s="13" t="s">
        <v>72</v>
      </c>
      <c r="B48" s="14">
        <v>42119</v>
      </c>
      <c r="C48" s="16">
        <v>72894</v>
      </c>
      <c r="D48">
        <f t="shared" si="0"/>
        <v>0</v>
      </c>
    </row>
    <row r="49" spans="1:4" x14ac:dyDescent="0.2">
      <c r="A49" s="13" t="s">
        <v>59</v>
      </c>
      <c r="B49" s="14">
        <v>42093</v>
      </c>
      <c r="C49" s="16">
        <v>72926</v>
      </c>
      <c r="D49">
        <f t="shared" si="0"/>
        <v>0</v>
      </c>
    </row>
    <row r="50" spans="1:4" x14ac:dyDescent="0.2">
      <c r="A50" s="13" t="s">
        <v>34</v>
      </c>
      <c r="B50" s="14">
        <v>42043</v>
      </c>
      <c r="C50" s="16">
        <v>74159</v>
      </c>
      <c r="D50">
        <f t="shared" si="0"/>
        <v>0</v>
      </c>
    </row>
    <row r="51" spans="1:4" x14ac:dyDescent="0.2">
      <c r="A51" s="13" t="s">
        <v>40</v>
      </c>
      <c r="B51" s="14">
        <v>42055</v>
      </c>
      <c r="C51" s="16">
        <v>74946</v>
      </c>
      <c r="D51">
        <f t="shared" si="0"/>
        <v>0</v>
      </c>
    </row>
    <row r="52" spans="1:4" x14ac:dyDescent="0.2">
      <c r="A52" s="13" t="s">
        <v>50</v>
      </c>
      <c r="B52" s="14">
        <v>42075</v>
      </c>
      <c r="C52" s="16">
        <v>76350</v>
      </c>
      <c r="D52">
        <f t="shared" si="0"/>
        <v>0</v>
      </c>
    </row>
    <row r="53" spans="1:4" x14ac:dyDescent="0.2">
      <c r="A53" s="13" t="s">
        <v>14</v>
      </c>
      <c r="B53" s="14">
        <v>42003</v>
      </c>
      <c r="C53" s="16">
        <v>76393</v>
      </c>
      <c r="D53">
        <f t="shared" si="0"/>
        <v>0</v>
      </c>
    </row>
    <row r="54" spans="1:4" x14ac:dyDescent="0.2">
      <c r="A54" s="13" t="s">
        <v>75</v>
      </c>
      <c r="B54" s="14">
        <v>42125</v>
      </c>
      <c r="C54" s="16">
        <v>77487</v>
      </c>
      <c r="D54">
        <f t="shared" si="0"/>
        <v>0</v>
      </c>
    </row>
    <row r="55" spans="1:4" x14ac:dyDescent="0.2">
      <c r="A55" s="13" t="s">
        <v>51</v>
      </c>
      <c r="B55" s="14">
        <v>42077</v>
      </c>
      <c r="C55" s="16">
        <v>77493</v>
      </c>
      <c r="D55">
        <f t="shared" si="0"/>
        <v>0</v>
      </c>
    </row>
    <row r="56" spans="1:4" x14ac:dyDescent="0.2">
      <c r="A56" s="13" t="s">
        <v>18</v>
      </c>
      <c r="B56" s="14">
        <v>42011</v>
      </c>
      <c r="C56" s="16">
        <v>77684</v>
      </c>
      <c r="D56">
        <f t="shared" si="0"/>
        <v>0</v>
      </c>
    </row>
    <row r="57" spans="1:4" x14ac:dyDescent="0.2">
      <c r="A57" s="13" t="s">
        <v>62</v>
      </c>
      <c r="B57" s="14">
        <v>42099</v>
      </c>
      <c r="C57" s="16">
        <v>78824</v>
      </c>
      <c r="D57">
        <f t="shared" si="0"/>
        <v>0</v>
      </c>
    </row>
    <row r="58" spans="1:4" x14ac:dyDescent="0.2">
      <c r="A58" s="13" t="s">
        <v>64</v>
      </c>
      <c r="B58" s="14">
        <v>42103</v>
      </c>
      <c r="C58" s="16">
        <v>79318</v>
      </c>
      <c r="D58">
        <f t="shared" si="0"/>
        <v>0</v>
      </c>
    </row>
    <row r="59" spans="1:4" x14ac:dyDescent="0.2">
      <c r="A59" s="13" t="s">
        <v>13</v>
      </c>
      <c r="B59" s="14">
        <v>42001</v>
      </c>
      <c r="C59" s="16">
        <v>81071</v>
      </c>
      <c r="D59">
        <f t="shared" si="0"/>
        <v>0</v>
      </c>
    </row>
    <row r="60" spans="1:4" x14ac:dyDescent="0.2">
      <c r="A60" s="13" t="s">
        <v>79</v>
      </c>
      <c r="B60" s="14">
        <v>42133</v>
      </c>
      <c r="C60" s="16">
        <v>82238</v>
      </c>
      <c r="D60">
        <f t="shared" si="0"/>
        <v>0</v>
      </c>
    </row>
    <row r="61" spans="1:4" x14ac:dyDescent="0.2">
      <c r="A61" s="13" t="s">
        <v>57</v>
      </c>
      <c r="B61" s="14">
        <v>42089</v>
      </c>
      <c r="C61" s="16">
        <v>82374</v>
      </c>
      <c r="D61">
        <f t="shared" si="0"/>
        <v>0</v>
      </c>
    </row>
    <row r="62" spans="1:4" x14ac:dyDescent="0.2">
      <c r="A62" s="13" t="s">
        <v>48</v>
      </c>
      <c r="B62" s="14">
        <v>42071</v>
      </c>
      <c r="C62" s="16">
        <v>83703</v>
      </c>
      <c r="D62">
        <f t="shared" si="0"/>
        <v>0</v>
      </c>
    </row>
    <row r="63" spans="1:4" x14ac:dyDescent="0.2">
      <c r="A63" s="13" t="s">
        <v>33</v>
      </c>
      <c r="B63" s="14">
        <v>42041</v>
      </c>
      <c r="C63" s="16">
        <v>85634</v>
      </c>
      <c r="D63">
        <f t="shared" si="0"/>
        <v>0</v>
      </c>
    </row>
    <row r="64" spans="1:4" x14ac:dyDescent="0.2">
      <c r="A64" s="13" t="s">
        <v>60</v>
      </c>
      <c r="B64" s="14">
        <v>42095</v>
      </c>
      <c r="C64" s="16">
        <v>86687</v>
      </c>
      <c r="D64">
        <f t="shared" si="0"/>
        <v>0</v>
      </c>
    </row>
    <row r="65" spans="1:4" x14ac:dyDescent="0.2">
      <c r="A65" s="13" t="s">
        <v>22</v>
      </c>
      <c r="B65" s="14">
        <v>42019</v>
      </c>
      <c r="C65" s="16">
        <v>86775</v>
      </c>
      <c r="D65">
        <f t="shared" si="0"/>
        <v>0</v>
      </c>
    </row>
    <row r="66" spans="1:4" x14ac:dyDescent="0.2">
      <c r="A66" s="13" t="s">
        <v>35</v>
      </c>
      <c r="B66" s="14">
        <v>42045</v>
      </c>
      <c r="C66" s="16">
        <v>88576</v>
      </c>
      <c r="D66">
        <f t="shared" si="0"/>
        <v>0</v>
      </c>
    </row>
    <row r="67" spans="1:4" x14ac:dyDescent="0.2">
      <c r="A67" s="13" t="s">
        <v>58</v>
      </c>
      <c r="B67" s="14">
        <v>42091</v>
      </c>
      <c r="C67" s="16">
        <v>111521</v>
      </c>
      <c r="D67">
        <f t="shared" si="0"/>
        <v>0</v>
      </c>
    </row>
    <row r="68" spans="1:4" x14ac:dyDescent="0.2">
      <c r="A68" s="13" t="s">
        <v>21</v>
      </c>
      <c r="B68" s="14">
        <v>42017</v>
      </c>
      <c r="C68" s="16">
        <v>111951</v>
      </c>
      <c r="D68">
        <f t="shared" ref="D68:D69" si="1">IF(C68&lt;$C$2,1,0)</f>
        <v>0</v>
      </c>
    </row>
    <row r="69" spans="1:4" x14ac:dyDescent="0.2">
      <c r="A69" s="13" t="s">
        <v>27</v>
      </c>
      <c r="B69" s="14">
        <v>42029</v>
      </c>
      <c r="C69" s="16">
        <v>123041</v>
      </c>
      <c r="D69">
        <f t="shared" si="1"/>
        <v>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C6AA-D5C8-400D-A8F3-E1AA5459815D}">
  <dimension ref="A1:C7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25" customWidth="1"/>
    <col min="2" max="2" width="10" customWidth="1"/>
    <col min="3" max="3" width="50" customWidth="1"/>
  </cols>
  <sheetData>
    <row r="1" spans="1:3" ht="17" x14ac:dyDescent="0.2">
      <c r="A1" s="6" t="s">
        <v>80</v>
      </c>
    </row>
    <row r="2" spans="1:3" x14ac:dyDescent="0.2">
      <c r="A2" s="7" t="s">
        <v>81</v>
      </c>
      <c r="B2" s="7" t="s">
        <v>82</v>
      </c>
      <c r="C2" s="7" t="s">
        <v>83</v>
      </c>
    </row>
    <row r="3" spans="1:3" x14ac:dyDescent="0.2">
      <c r="A3" s="8" t="s">
        <v>10</v>
      </c>
      <c r="B3" s="8" t="s">
        <v>84</v>
      </c>
      <c r="C3" s="8" t="s">
        <v>85</v>
      </c>
    </row>
    <row r="4" spans="1:3" x14ac:dyDescent="0.2">
      <c r="A4" s="9" t="s">
        <v>10</v>
      </c>
      <c r="B4" s="9" t="s">
        <v>86</v>
      </c>
      <c r="C4" s="9" t="s">
        <v>87</v>
      </c>
    </row>
    <row r="5" spans="1:3" x14ac:dyDescent="0.2">
      <c r="A5" s="10" t="s">
        <v>12</v>
      </c>
      <c r="B5" s="10" t="s">
        <v>84</v>
      </c>
      <c r="C5" s="10" t="s">
        <v>88</v>
      </c>
    </row>
    <row r="6" spans="1:3" x14ac:dyDescent="0.2">
      <c r="A6" s="11" t="s">
        <v>12</v>
      </c>
      <c r="B6" s="11" t="s">
        <v>86</v>
      </c>
      <c r="C6" s="11" t="s">
        <v>89</v>
      </c>
    </row>
    <row r="7" spans="1:3" x14ac:dyDescent="0.2">
      <c r="A7" s="12" t="s">
        <v>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d574f1-4c9a-4cfd-8eb2-d070bf5f7b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8F27765EB794CA77A48B277FFEDD9" ma:contentTypeVersion="14" ma:contentTypeDescription="Create a new document." ma:contentTypeScope="" ma:versionID="705f304a68e87d2d1af92839572a6402">
  <xsd:schema xmlns:xsd="http://www.w3.org/2001/XMLSchema" xmlns:xs="http://www.w3.org/2001/XMLSchema" xmlns:p="http://schemas.microsoft.com/office/2006/metadata/properties" xmlns:ns3="6fd574f1-4c9a-4cfd-8eb2-d070bf5f7b39" xmlns:ns4="147a605b-3ce4-4776-bf48-f2c99ce51bcd" targetNamespace="http://schemas.microsoft.com/office/2006/metadata/properties" ma:root="true" ma:fieldsID="910a7f96085f6faef5ef431e8aee85a8" ns3:_="" ns4:_="">
    <xsd:import namespace="6fd574f1-4c9a-4cfd-8eb2-d070bf5f7b39"/>
    <xsd:import namespace="147a605b-3ce4-4776-bf48-f2c99ce51b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574f1-4c9a-4cfd-8eb2-d070bf5f7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a605b-3ce4-4776-bf48-f2c99ce51b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6FA186-5B56-432C-9123-F566EE0F34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8CD593-69B1-471F-B917-295EE6AB03D7}">
  <ds:schemaRefs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6fd574f1-4c9a-4cfd-8eb2-d070bf5f7b39"/>
    <ds:schemaRef ds:uri="http://schemas.microsoft.com/office/infopath/2007/PartnerControls"/>
    <ds:schemaRef ds:uri="http://schemas.openxmlformats.org/package/2006/metadata/core-properties"/>
    <ds:schemaRef ds:uri="147a605b-3ce4-4776-bf48-f2c99ce51bcd"/>
  </ds:schemaRefs>
</ds:datastoreItem>
</file>

<file path=customXml/itemProps3.xml><?xml version="1.0" encoding="utf-8"?>
<ds:datastoreItem xmlns:ds="http://schemas.openxmlformats.org/officeDocument/2006/customXml" ds:itemID="{487594FB-FA30-470C-B501-EF5A2F9812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d574f1-4c9a-4cfd-8eb2-d070bf5f7b39"/>
    <ds:schemaRef ds:uri="147a605b-3ce4-4776-bf48-f2c99ce51b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</vt:lpstr>
      <vt:lpstr>Median Income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Li</dc:creator>
  <cp:lastModifiedBy>Microsoft Office User</cp:lastModifiedBy>
  <dcterms:created xsi:type="dcterms:W3CDTF">2026-03-20T17:06:53Z</dcterms:created>
  <dcterms:modified xsi:type="dcterms:W3CDTF">2026-03-22T17:58:20Z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0x010100C1B8F27765EB794CA77A48B277FFEDD9</vt:lpwstr>
  </property>
</Properties>
</file>